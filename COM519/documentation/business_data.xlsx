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c2b1cade404ad/Documents/Uni/COM519/documentation/"/>
    </mc:Choice>
  </mc:AlternateContent>
  <xr:revisionPtr revIDLastSave="1148" documentId="8_{452B2D95-69CF-4FD1-822E-0FA5A707D75A}" xr6:coauthVersionLast="47" xr6:coauthVersionMax="47" xr10:uidLastSave="{AA23B886-F1C9-4073-ABCD-AD0DBD4F4C23}"/>
  <bookViews>
    <workbookView xWindow="11205" yWindow="600" windowWidth="17595" windowHeight="15600" activeTab="3" xr2:uid="{4CF95AAD-A3F0-47B4-8007-64DB6EBCD809}"/>
  </bookViews>
  <sheets>
    <sheet name="Flat File" sheetId="1" r:id="rId1"/>
    <sheet name="1NF" sheetId="3" r:id="rId2"/>
    <sheet name="2NF" sheetId="5" r:id="rId3"/>
    <sheet name="3NF" sheetId="6" r:id="rId4"/>
  </sheets>
  <definedNames>
    <definedName name="_xlnm._FilterDatabase" localSheetId="3" hidden="1">'3NF'!#REF!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6" i="6" l="1"/>
  <c r="G97" i="6"/>
  <c r="G98" i="6"/>
  <c r="G99" i="6"/>
  <c r="G100" i="6"/>
  <c r="G101" i="6"/>
  <c r="G95" i="6"/>
  <c r="N24" i="6"/>
  <c r="O24" i="6" s="1"/>
  <c r="N25" i="6"/>
  <c r="O25" i="6" s="1"/>
  <c r="N26" i="6"/>
  <c r="O26" i="6" s="1"/>
  <c r="N27" i="6"/>
  <c r="O27" i="6" s="1"/>
  <c r="N28" i="6"/>
  <c r="O28" i="6" s="1"/>
  <c r="N29" i="6"/>
  <c r="O29" i="6" s="1"/>
  <c r="N30" i="6"/>
  <c r="O30" i="6" s="1"/>
  <c r="N31" i="6"/>
  <c r="O31" i="6" s="1"/>
  <c r="N32" i="6"/>
  <c r="O32" i="6" s="1"/>
  <c r="N33" i="6"/>
  <c r="O33" i="6" s="1"/>
  <c r="P32" i="5"/>
  <c r="Q32" i="5" s="1"/>
  <c r="P31" i="5"/>
  <c r="P30" i="5"/>
  <c r="Q30" i="5" s="1"/>
  <c r="P29" i="5"/>
  <c r="Q29" i="5" s="1"/>
  <c r="P28" i="5"/>
  <c r="Q28" i="5" s="1"/>
  <c r="P27" i="5"/>
  <c r="P26" i="5"/>
  <c r="Q26" i="5" s="1"/>
  <c r="P25" i="5"/>
  <c r="Q25" i="5" s="1"/>
  <c r="P24" i="5"/>
  <c r="Q24" i="5" s="1"/>
  <c r="P23" i="5"/>
  <c r="Y14" i="3"/>
  <c r="Z14" i="3" s="1"/>
  <c r="Y13" i="3"/>
  <c r="Z13" i="3" s="1"/>
  <c r="Y12" i="3"/>
  <c r="Z12" i="3" s="1"/>
  <c r="Y11" i="3"/>
  <c r="Z11" i="3" s="1"/>
  <c r="Y10" i="3"/>
  <c r="Z10" i="3" s="1"/>
  <c r="Y9" i="3"/>
  <c r="Z9" i="3" s="1"/>
  <c r="Y8" i="3"/>
  <c r="Z8" i="3" s="1"/>
  <c r="Y7" i="3"/>
  <c r="Z7" i="3" s="1"/>
  <c r="Y6" i="3"/>
  <c r="Z6" i="3" s="1"/>
  <c r="Y5" i="3"/>
  <c r="Z5" i="3" s="1"/>
  <c r="Q23" i="5" l="1"/>
  <c r="Q27" i="5"/>
  <c r="Q31" i="5"/>
</calcChain>
</file>

<file path=xl/sharedStrings.xml><?xml version="1.0" encoding="utf-8"?>
<sst xmlns="http://schemas.openxmlformats.org/spreadsheetml/2006/main" count="1362" uniqueCount="464">
  <si>
    <t>Customer Name</t>
  </si>
  <si>
    <t>Customer Address</t>
  </si>
  <si>
    <t>Customer ID</t>
  </si>
  <si>
    <t>Garage Name</t>
  </si>
  <si>
    <t>Garage Address</t>
  </si>
  <si>
    <t>Package</t>
  </si>
  <si>
    <t>Parts Consumed</t>
  </si>
  <si>
    <t>Total Cost (Net)</t>
  </si>
  <si>
    <t>Total Cost (VAT)</t>
  </si>
  <si>
    <t>Total Cost (Gross)</t>
  </si>
  <si>
    <t>Staff Member</t>
  </si>
  <si>
    <t>Car Reg.</t>
  </si>
  <si>
    <t>Car Make/Model</t>
  </si>
  <si>
    <t>Package/Service</t>
  </si>
  <si>
    <t>Oliver Smith</t>
  </si>
  <si>
    <t>12 High Street, Cambridge, CB2 1TN</t>
  </si>
  <si>
    <t>Amelia Jones</t>
  </si>
  <si>
    <t>Flat 4, 22 King’s Road, London, SW3 4RY</t>
  </si>
  <si>
    <t>Jack Taylor</t>
  </si>
  <si>
    <t>78 Church Lane, Manchester, M20 6WE</t>
  </si>
  <si>
    <t>Olivia Brown</t>
  </si>
  <si>
    <t>5 Rosewood Close, Birmingham, B15 2TH</t>
  </si>
  <si>
    <t>Harry Wilson</t>
  </si>
  <si>
    <t>14 Market Street, Leeds, LS1 4HT</t>
  </si>
  <si>
    <t>Isla Thompson</t>
  </si>
  <si>
    <t>Apartment 3B, 10 Queen Street, Glasgow, G1 3DX</t>
  </si>
  <si>
    <t>Charlie Johnson</t>
  </si>
  <si>
    <t>56 Victoria Road, Bristol, BS3 5RW</t>
  </si>
  <si>
    <t>Emily Walker</t>
  </si>
  <si>
    <t>7 Meadow Court, Nottingham, NG5 2BL</t>
  </si>
  <si>
    <t>George Evans</t>
  </si>
  <si>
    <t>21 Station Road, Liverpool, L1 2SR</t>
  </si>
  <si>
    <t>Ava Robinson</t>
  </si>
  <si>
    <t>33 Green Lane, Sheffield, S10 1AA</t>
  </si>
  <si>
    <t>Greenway Auto Repairs</t>
  </si>
  <si>
    <t>14 Station Road, Milton Keynes, MK9 1BB</t>
  </si>
  <si>
    <t>Elite Motor Services</t>
  </si>
  <si>
    <t>22A Kingsway Industrial Estate, Manchester, M19 1AQ</t>
  </si>
  <si>
    <t>Riverside Garage &amp; MOT</t>
  </si>
  <si>
    <t>7 Riverside Drive, Cardiff, CF10 5AE</t>
  </si>
  <si>
    <t>Parkside Vehicle Services</t>
  </si>
  <si>
    <t>Unit 3, Parkside Trading Estate, Leeds, LS11 5TP</t>
  </si>
  <si>
    <t>Ted Grass</t>
  </si>
  <si>
    <t>Alex Soome</t>
  </si>
  <si>
    <t>Claire Yu</t>
  </si>
  <si>
    <t>Helen Carr</t>
  </si>
  <si>
    <t>Alex Elliot</t>
  </si>
  <si>
    <t>Ford</t>
  </si>
  <si>
    <t>Fiesta</t>
  </si>
  <si>
    <t>Volkswagen</t>
  </si>
  <si>
    <t>Golf</t>
  </si>
  <si>
    <t>Toyota</t>
  </si>
  <si>
    <t>Corolla</t>
  </si>
  <si>
    <t>BMW</t>
  </si>
  <si>
    <t>3 Series</t>
  </si>
  <si>
    <t>Mercedes-Benz</t>
  </si>
  <si>
    <t>C-Class</t>
  </si>
  <si>
    <t>Honda</t>
  </si>
  <si>
    <t>Civic</t>
  </si>
  <si>
    <t>Nissan</t>
  </si>
  <si>
    <t>Qashqai</t>
  </si>
  <si>
    <t>BMW 3 Series</t>
  </si>
  <si>
    <t>Ford Fiesta</t>
  </si>
  <si>
    <t>Volkswagen Golf</t>
  </si>
  <si>
    <t>Toyota Corolla</t>
  </si>
  <si>
    <t>Mercedes-Benz C-Class</t>
  </si>
  <si>
    <t>Honda Civic</t>
  </si>
  <si>
    <t>Nissan Qashqai</t>
  </si>
  <si>
    <t>Volkswagen Polo</t>
  </si>
  <si>
    <t>BK72 LXF</t>
  </si>
  <si>
    <t>MV21 RYD</t>
  </si>
  <si>
    <t>LD70 ZKC</t>
  </si>
  <si>
    <t>HY68 MJO</t>
  </si>
  <si>
    <t>CN19 TXE</t>
  </si>
  <si>
    <t>WF73 BDU</t>
  </si>
  <si>
    <t>KS22 VNM</t>
  </si>
  <si>
    <t>GX71 HLE</t>
  </si>
  <si>
    <t>RJ69 YTB</t>
  </si>
  <si>
    <t>DA20 KZW</t>
  </si>
  <si>
    <t>Car Part</t>
  </si>
  <si>
    <t>Description</t>
  </si>
  <si>
    <t>Engine Oil</t>
  </si>
  <si>
    <t>Lubricates engine components</t>
  </si>
  <si>
    <t>Oil change, regular servicing</t>
  </si>
  <si>
    <t>Oil Filter</t>
  </si>
  <si>
    <t>Filters contaminants from engine oil</t>
  </si>
  <si>
    <t>Oil change</t>
  </si>
  <si>
    <t>Air Filter</t>
  </si>
  <si>
    <t>Filters air entering the engine</t>
  </si>
  <si>
    <t>Engine tune-up, annual service</t>
  </si>
  <si>
    <t>Brake Pads</t>
  </si>
  <si>
    <t>Provides friction for braking</t>
  </si>
  <si>
    <t>Brake repair or replacement</t>
  </si>
  <si>
    <t>Brake Discs (Rotors)</t>
  </si>
  <si>
    <t>Rotating surface for brake pads to clamp</t>
  </si>
  <si>
    <t>Brake system overhaul</t>
  </si>
  <si>
    <t>Spark Plugs</t>
  </si>
  <si>
    <t>Ignites fuel-air mixture in engine cylinders</t>
  </si>
  <si>
    <t>Engine misfires, tune-up</t>
  </si>
  <si>
    <t>Fuel Filter</t>
  </si>
  <si>
    <t>Filters impurities from fuel</t>
  </si>
  <si>
    <t>Fuel system maintenance</t>
  </si>
  <si>
    <t>Timing Belt/Chain</t>
  </si>
  <si>
    <t>Synchronises engine timing</t>
  </si>
  <si>
    <t>Engine service (at specific mileage)</t>
  </si>
  <si>
    <t>Cabin Air Filter</t>
  </si>
  <si>
    <t>Filters air inside the car cabin</t>
  </si>
  <si>
    <t>HVAC maintenance</t>
  </si>
  <si>
    <t>Wiper Blades</t>
  </si>
  <si>
    <t>Clears rain from windscreen</t>
  </si>
  <si>
    <t>Seasonal maintenance</t>
  </si>
  <si>
    <t>Coolant/Antifreeze</t>
  </si>
  <si>
    <t>Regulates engine temperature</t>
  </si>
  <si>
    <t>Cooling system flush</t>
  </si>
  <si>
    <t>Transmission Fluid</t>
  </si>
  <si>
    <t>Lubricates and cools transmission components</t>
  </si>
  <si>
    <t>Transmission service</t>
  </si>
  <si>
    <t>Battery</t>
  </si>
  <si>
    <t>Powers the car's electrical system</t>
  </si>
  <si>
    <t>Battery replacement</t>
  </si>
  <si>
    <t>Tyres</t>
  </si>
  <si>
    <t>Provides traction and supports the car’s weight</t>
  </si>
  <si>
    <t>Tyre replacement or rotation</t>
  </si>
  <si>
    <t>Headlight Bulbs</t>
  </si>
  <si>
    <t>Provides front illumination</t>
  </si>
  <si>
    <t>Bulb replacement</t>
  </si>
  <si>
    <t>MOT/Service</t>
  </si>
  <si>
    <t>Cooling Sys. Referb</t>
  </si>
  <si>
    <t>Interim Service</t>
  </si>
  <si>
    <t>Investigation/Service</t>
  </si>
  <si>
    <t>Referral?</t>
  </si>
  <si>
    <t>Yes</t>
  </si>
  <si>
    <t>No</t>
  </si>
  <si>
    <t>Date of Service/Package</t>
  </si>
  <si>
    <t>Followup Required?</t>
  </si>
  <si>
    <t>Engine Oil, Oil Filter, Air Filter, Brake Pads *4</t>
  </si>
  <si>
    <t>Engine Oil, Oil Filter, Air Filter, Brake Pads * 4, Wiper Blades *2, Coolant/Antifreeze</t>
  </si>
  <si>
    <t>Oil Filter, Air Filter, Brake Pads *4, Brake Discs (Rotors) * 2, Spark Plugs * 6, Fuel Filter, Timing Belt/Chain</t>
  </si>
  <si>
    <t>Air Filter, Spark Plugs * 6, Fuel Filter</t>
  </si>
  <si>
    <t>Air Filter, Spark Plugs *6, Fuel Filter</t>
  </si>
  <si>
    <t>Wiper Blades *2, Coolant/Antifreeze</t>
  </si>
  <si>
    <t>Cabin Air Filter, Wiper Blades *2, Coolant/Antifreeze</t>
  </si>
  <si>
    <t>Customer Email</t>
  </si>
  <si>
    <t>Customer Phone Number</t>
  </si>
  <si>
    <t>oliver.smith@email.com</t>
  </si>
  <si>
    <t>07123 456789</t>
  </si>
  <si>
    <t>amelia.jones@email.com</t>
  </si>
  <si>
    <t>07234 567890</t>
  </si>
  <si>
    <t>jack.taylor@email.com</t>
  </si>
  <si>
    <t>07345 678901</t>
  </si>
  <si>
    <t>olivia.brown@email.com</t>
  </si>
  <si>
    <t>07456 789012</t>
  </si>
  <si>
    <t>harry.wilson@email.com</t>
  </si>
  <si>
    <t>07567 890123</t>
  </si>
  <si>
    <t>isla.thompson@email.com</t>
  </si>
  <si>
    <t>07678 901234</t>
  </si>
  <si>
    <t>charlie.johnson@email.com</t>
  </si>
  <si>
    <t>07789 012345</t>
  </si>
  <si>
    <t>emily.walker@email.com</t>
  </si>
  <si>
    <t>07890 123456</t>
  </si>
  <si>
    <t>george.evans@email.com</t>
  </si>
  <si>
    <t>07901 234567</t>
  </si>
  <si>
    <t>ava.robinson@email.com</t>
  </si>
  <si>
    <t>07012 345678</t>
  </si>
  <si>
    <t>Garage Email</t>
  </si>
  <si>
    <t>Garage Phone Number</t>
  </si>
  <si>
    <t>contact@greenwayautorepairs.co.uk</t>
  </si>
  <si>
    <t>01908 123456</t>
  </si>
  <si>
    <t>info@parksidevehicles.co.uk</t>
  </si>
  <si>
    <t>01132 345678</t>
  </si>
  <si>
    <t>service@riversidegaragemot.co.uk</t>
  </si>
  <si>
    <t>02920 987654</t>
  </si>
  <si>
    <t>hello@elitemotorservices.co.uk</t>
  </si>
  <si>
    <t>01612 234567</t>
  </si>
  <si>
    <t>FLAT FILE</t>
  </si>
  <si>
    <t>Online Car Repair</t>
  </si>
  <si>
    <t>1NF</t>
  </si>
  <si>
    <t>Customer Post Code</t>
  </si>
  <si>
    <t>CB2 1TN</t>
  </si>
  <si>
    <t>12 High Street, Cambridge</t>
  </si>
  <si>
    <t>SW3 4RY</t>
  </si>
  <si>
    <t>M20 6WE</t>
  </si>
  <si>
    <t>B15 2TH</t>
  </si>
  <si>
    <t>LS1 4HT</t>
  </si>
  <si>
    <t>G1 3DX</t>
  </si>
  <si>
    <t>BS3 5RW</t>
  </si>
  <si>
    <t>NG5 2BL</t>
  </si>
  <si>
    <t>L1 2SR</t>
  </si>
  <si>
    <t>S10 1AA</t>
  </si>
  <si>
    <t>Flat 4, 22 King’s Road, London</t>
  </si>
  <si>
    <t>78 Church Lane, Manchester</t>
  </si>
  <si>
    <t>5 Rosewood Close, Birmingham</t>
  </si>
  <si>
    <t>14 Market Street, Leeds</t>
  </si>
  <si>
    <t>Apartment 3B, 10 Queen Street, Glasgow</t>
  </si>
  <si>
    <t>56 Victoria Road, Bristol</t>
  </si>
  <si>
    <t>7 Meadow Court, Nottingham</t>
  </si>
  <si>
    <t>21 Station Road, Liverpool</t>
  </si>
  <si>
    <t>33 Green Lane, Sheffield</t>
  </si>
  <si>
    <t>MK9 1BB</t>
  </si>
  <si>
    <t>Garage Post Code</t>
  </si>
  <si>
    <t xml:space="preserve">14 Station Road, Milton Keynes </t>
  </si>
  <si>
    <t>Unit 3, Parkside Trading Estate, Leeds</t>
  </si>
  <si>
    <t>LS11 5TP</t>
  </si>
  <si>
    <t>14 Station Road, Milton Keynes</t>
  </si>
  <si>
    <t>7 Riverside Drive, Cardiff</t>
  </si>
  <si>
    <t>CF10 5AE</t>
  </si>
  <si>
    <t>22A Kingsway Industrial Estate, Manchester</t>
  </si>
  <si>
    <t>M19 1AQ</t>
  </si>
  <si>
    <t>£180 (£36) : £216</t>
  </si>
  <si>
    <t>£80 (£16) : £96</t>
  </si>
  <si>
    <t>£120 (£24) : £144</t>
  </si>
  <si>
    <t>£450 (£90) : £540</t>
  </si>
  <si>
    <t>£175 (£35) : £210</t>
  </si>
  <si>
    <t>£85 (£17) : £102</t>
  </si>
  <si>
    <t>£140 (£28) : £168</t>
  </si>
  <si>
    <r>
      <t xml:space="preserve">Total Cost 
</t>
    </r>
    <r>
      <rPr>
        <b/>
        <sz val="12"/>
        <color theme="1"/>
        <rFont val="Aptos Narrow"/>
        <family val="2"/>
        <scheme val="minor"/>
      </rPr>
      <t>(Net (VAT) : Gross)</t>
    </r>
  </si>
  <si>
    <t>Customer Contact Details</t>
  </si>
  <si>
    <t>oliver.smith@email.com / 07123 456789</t>
  </si>
  <si>
    <t>amelia.jones@email.com / 07234 567890</t>
  </si>
  <si>
    <t>jack.taylor@email.com / 07345 678901</t>
  </si>
  <si>
    <t>olivia.brown@email.com / 07456 789012</t>
  </si>
  <si>
    <t>harry.wilson@email.com / 07567 890123</t>
  </si>
  <si>
    <t>isla.thompson@email.com / 07678 901234</t>
  </si>
  <si>
    <t>charlie.johnson@email.com / 07789 012345</t>
  </si>
  <si>
    <t>emily.walker@email.com / 07890 123456</t>
  </si>
  <si>
    <t>george.evans@email.com / 07901 234567</t>
  </si>
  <si>
    <t>ava.robinson@email.com / 07012 345678</t>
  </si>
  <si>
    <t>Garage Contact Details</t>
  </si>
  <si>
    <t>contact@greenwayautorepairs.co.uk / 01908 123456 / Alex Soome</t>
  </si>
  <si>
    <t>info@parksidevehicles.co.uk / 01132 345678 / Claire Yu</t>
  </si>
  <si>
    <t>contact@greenwayautorepairs.co.uk / 01908 123456 / Ted Grass</t>
  </si>
  <si>
    <t>service@riversidegaragemot.co.uk / 02920 987654 / Helen Carr</t>
  </si>
  <si>
    <t>hello@elitemotorservices.co.uk / 01612 234567 / Alex Elliot</t>
  </si>
  <si>
    <t>Yes (Elite Motor Services)</t>
  </si>
  <si>
    <t>Payment Method</t>
  </si>
  <si>
    <t>Card</t>
  </si>
  <si>
    <t>Membership</t>
  </si>
  <si>
    <t>Cash</t>
  </si>
  <si>
    <t>Simon Lee</t>
  </si>
  <si>
    <t>Jason Anderson</t>
  </si>
  <si>
    <t>Jen Keeosk</t>
  </si>
  <si>
    <t>Jim Bean</t>
  </si>
  <si>
    <t>Katie John</t>
  </si>
  <si>
    <t>Mechanic Name</t>
  </si>
  <si>
    <t>MOT Pass</t>
  </si>
  <si>
    <t>N/A</t>
  </si>
  <si>
    <t>Pass</t>
  </si>
  <si>
    <t>Car Make</t>
  </si>
  <si>
    <t>Car Model</t>
  </si>
  <si>
    <t>Polo</t>
  </si>
  <si>
    <t>Referral</t>
  </si>
  <si>
    <t>Referral From</t>
  </si>
  <si>
    <t>Customer Table</t>
  </si>
  <si>
    <t>Name</t>
  </si>
  <si>
    <t>ID</t>
  </si>
  <si>
    <t>Garage Table</t>
  </si>
  <si>
    <t>Garage ID</t>
  </si>
  <si>
    <t>Contact Staff Member</t>
  </si>
  <si>
    <r>
      <t xml:space="preserve">Referral From
</t>
    </r>
    <r>
      <rPr>
        <b/>
        <i/>
        <sz val="14"/>
        <color theme="1"/>
        <rFont val="Aptos Narrow"/>
        <family val="2"/>
        <scheme val="minor"/>
      </rPr>
      <t>(Garage ID)</t>
    </r>
  </si>
  <si>
    <t>Membership ID</t>
  </si>
  <si>
    <t>2NF</t>
  </si>
  <si>
    <t>Transaction Table</t>
  </si>
  <si>
    <t>Customer Vehicle table</t>
  </si>
  <si>
    <t>MOT Stauts</t>
  </si>
  <si>
    <t>Customer Vehicale ID</t>
  </si>
  <si>
    <t>Mechanic ID</t>
  </si>
  <si>
    <t>Staff Member Type</t>
  </si>
  <si>
    <t>Mechanic</t>
  </si>
  <si>
    <t>Sue Bridges</t>
  </si>
  <si>
    <t>Alex Towns</t>
  </si>
  <si>
    <t>Front Desk</t>
  </si>
  <si>
    <t>MEC-01</t>
  </si>
  <si>
    <t>MEC-02</t>
  </si>
  <si>
    <t>MEC-03</t>
  </si>
  <si>
    <t>MEC-04</t>
  </si>
  <si>
    <t>MEC-05</t>
  </si>
  <si>
    <t>FRNT-01</t>
  </si>
  <si>
    <t>FRNT-02</t>
  </si>
  <si>
    <t>Primary Garage</t>
  </si>
  <si>
    <t>Bookings Table</t>
  </si>
  <si>
    <t>BK-01</t>
  </si>
  <si>
    <t>BK-02</t>
  </si>
  <si>
    <t>BK-03</t>
  </si>
  <si>
    <t>BK-04</t>
  </si>
  <si>
    <t>BK-05</t>
  </si>
  <si>
    <t>BK-06</t>
  </si>
  <si>
    <t>BK-07</t>
  </si>
  <si>
    <t>BK-08</t>
  </si>
  <si>
    <t>BK-09</t>
  </si>
  <si>
    <t>BK-10</t>
  </si>
  <si>
    <t>CUS-01</t>
  </si>
  <si>
    <t>CUSVEH-01</t>
  </si>
  <si>
    <t>CUSVEH-02</t>
  </si>
  <si>
    <t>CUSVEH-03</t>
  </si>
  <si>
    <t>CUSVEH-04</t>
  </si>
  <si>
    <t>CUSVEH-05</t>
  </si>
  <si>
    <t>CUSVEH-06</t>
  </si>
  <si>
    <t>CUSVEH-07</t>
  </si>
  <si>
    <t>CUSVEH-08</t>
  </si>
  <si>
    <t>CUSVEH-09</t>
  </si>
  <si>
    <t>CUSVEH-10</t>
  </si>
  <si>
    <t>CUS-02</t>
  </si>
  <si>
    <t>CUS-03</t>
  </si>
  <si>
    <t>CUS-04</t>
  </si>
  <si>
    <t>CUS-05</t>
  </si>
  <si>
    <t>CUS-06</t>
  </si>
  <si>
    <t>CUS-07</t>
  </si>
  <si>
    <t>CUS-08</t>
  </si>
  <si>
    <t>CUS-09</t>
  </si>
  <si>
    <t>CUS-10</t>
  </si>
  <si>
    <t>GRDG-01</t>
  </si>
  <si>
    <t>GRDG-02</t>
  </si>
  <si>
    <t>GRDG-03</t>
  </si>
  <si>
    <t>GRDG-04</t>
  </si>
  <si>
    <t>STF-01</t>
  </si>
  <si>
    <t>STF-02</t>
  </si>
  <si>
    <t>STF-03</t>
  </si>
  <si>
    <t>STF-04</t>
  </si>
  <si>
    <t>STF-05</t>
  </si>
  <si>
    <t>STF-06</t>
  </si>
  <si>
    <t>STF-07</t>
  </si>
  <si>
    <t>3NF</t>
  </si>
  <si>
    <t>TACT-01</t>
  </si>
  <si>
    <t>Part Consumed</t>
  </si>
  <si>
    <t>QTY Consumed</t>
  </si>
  <si>
    <t>Booking ID</t>
  </si>
  <si>
    <t>Transaction ID</t>
  </si>
  <si>
    <t>TACT-02</t>
  </si>
  <si>
    <t>TACT-03</t>
  </si>
  <si>
    <t>TACT-04</t>
  </si>
  <si>
    <t>TACT-05</t>
  </si>
  <si>
    <t>TACT-06</t>
  </si>
  <si>
    <t>TACT-07</t>
  </si>
  <si>
    <t>TACT-08</t>
  </si>
  <si>
    <t>TACT-09</t>
  </si>
  <si>
    <t>TACT-10</t>
  </si>
  <si>
    <t>TACT-11</t>
  </si>
  <si>
    <t>TACT-12</t>
  </si>
  <si>
    <t>TACT-13</t>
  </si>
  <si>
    <t>TACT-14</t>
  </si>
  <si>
    <t>TACT-15</t>
  </si>
  <si>
    <t>TACT-16</t>
  </si>
  <si>
    <t>TACT-17</t>
  </si>
  <si>
    <t>TACT-18</t>
  </si>
  <si>
    <t>TACT-19</t>
  </si>
  <si>
    <t>TACT-20</t>
  </si>
  <si>
    <t>TACT-21</t>
  </si>
  <si>
    <t>TACT-22</t>
  </si>
  <si>
    <t>TACT-23</t>
  </si>
  <si>
    <t>TACT-24</t>
  </si>
  <si>
    <t>TACT-25</t>
  </si>
  <si>
    <t>TACT-26</t>
  </si>
  <si>
    <t>TACT-27</t>
  </si>
  <si>
    <t>TACT-28</t>
  </si>
  <si>
    <t>TACT-29</t>
  </si>
  <si>
    <t>TACT-30</t>
  </si>
  <si>
    <t>TACT-31</t>
  </si>
  <si>
    <t>TACT-32</t>
  </si>
  <si>
    <t>TACT-33</t>
  </si>
  <si>
    <t>TACT-34</t>
  </si>
  <si>
    <t>TACT-35</t>
  </si>
  <si>
    <t>TACT-36</t>
  </si>
  <si>
    <t>TACT-37</t>
  </si>
  <si>
    <t>Stock Table</t>
  </si>
  <si>
    <t>Part ID</t>
  </si>
  <si>
    <t>ITM-001</t>
  </si>
  <si>
    <t>ITM-002</t>
  </si>
  <si>
    <t>ITM-003</t>
  </si>
  <si>
    <t>ITM-004</t>
  </si>
  <si>
    <t>ITM-005</t>
  </si>
  <si>
    <t>ITM-006</t>
  </si>
  <si>
    <t>ITM-007</t>
  </si>
  <si>
    <t>ITM-008</t>
  </si>
  <si>
    <t>ITM-009</t>
  </si>
  <si>
    <t>ITM-010</t>
  </si>
  <si>
    <t>ITM-011</t>
  </si>
  <si>
    <t>ITM-012</t>
  </si>
  <si>
    <t>ITM-013</t>
  </si>
  <si>
    <t>ITM-014</t>
  </si>
  <si>
    <t>ITM-015</t>
  </si>
  <si>
    <t>Package/Service Table</t>
  </si>
  <si>
    <t>PCK-001</t>
  </si>
  <si>
    <t>PCK-002</t>
  </si>
  <si>
    <t>PCK-003</t>
  </si>
  <si>
    <t>PCK-004</t>
  </si>
  <si>
    <t>Items Consumed</t>
  </si>
  <si>
    <t>MOT and Full Service</t>
  </si>
  <si>
    <t>Cooling system check and referbish</t>
  </si>
  <si>
    <t>Full review of vehicle, with feedback from customer</t>
  </si>
  <si>
    <t>[ITM-001,ITM-002,ITM-003]</t>
  </si>
  <si>
    <t>[ITM-009,ITM-010,ITM-011]</t>
  </si>
  <si>
    <t>[ITM-003,ITM-006,ITM-007]</t>
  </si>
  <si>
    <t>"Garage referal from Elite Motor Services"</t>
  </si>
  <si>
    <t>"Online"</t>
  </si>
  <si>
    <t>"Word of Mouth"</t>
  </si>
  <si>
    <t>Common Repair Group</t>
  </si>
  <si>
    <t>Membership Table</t>
  </si>
  <si>
    <t>MEM-001</t>
  </si>
  <si>
    <t>MEM-002</t>
  </si>
  <si>
    <t>MEM-003</t>
  </si>
  <si>
    <t>Customer_id</t>
  </si>
  <si>
    <t>Payment_Method</t>
  </si>
  <si>
    <t>Iban</t>
  </si>
  <si>
    <t>Monthly Subscription Payment (Day)</t>
  </si>
  <si>
    <t>GB00 HBUK 4012 3456 7890 12</t>
  </si>
  <si>
    <t>GB29 NWBK 6016 1331 9268 19</t>
  </si>
  <si>
    <t>GB82 WEST 1234 5698 7654 32</t>
  </si>
  <si>
    <t>Paid</t>
  </si>
  <si>
    <t>User_id</t>
  </si>
  <si>
    <t>Staff_id</t>
  </si>
  <si>
    <t>Address</t>
  </si>
  <si>
    <t>Post Code</t>
  </si>
  <si>
    <t>Email</t>
  </si>
  <si>
    <t>Phone Number</t>
  </si>
  <si>
    <t>0131 225 5630</t>
  </si>
  <si>
    <t>0121 496 0991</t>
  </si>
  <si>
    <t>07911 234567</t>
  </si>
  <si>
    <t>07941 994567</t>
  </si>
  <si>
    <t>07722 556688</t>
  </si>
  <si>
    <t>07400 123456</t>
  </si>
  <si>
    <t>020 7946 0123</t>
  </si>
  <si>
    <t>USR-01</t>
  </si>
  <si>
    <t>USR-02</t>
  </si>
  <si>
    <t>USR-03</t>
  </si>
  <si>
    <t>USR-04</t>
  </si>
  <si>
    <t>USR-05</t>
  </si>
  <si>
    <t>USR-06</t>
  </si>
  <si>
    <t>USR-07</t>
  </si>
  <si>
    <t>USR-08</t>
  </si>
  <si>
    <t>USR-09</t>
  </si>
  <si>
    <t>USR-10</t>
  </si>
  <si>
    <t>USR-11</t>
  </si>
  <si>
    <t>USR-12</t>
  </si>
  <si>
    <t>USR-13</t>
  </si>
  <si>
    <t>USR-14</t>
  </si>
  <si>
    <t>USR-15</t>
  </si>
  <si>
    <t>USR-16</t>
  </si>
  <si>
    <t>USR-17</t>
  </si>
  <si>
    <t>12 Baker Street</t>
  </si>
  <si>
    <t>NW1 6XE</t>
  </si>
  <si>
    <t>45 Oakwood Drive</t>
  </si>
  <si>
    <t>M14 5GH</t>
  </si>
  <si>
    <t>88 Kingsway Road</t>
  </si>
  <si>
    <t>B15 2TT</t>
  </si>
  <si>
    <t>3 Rose Hill Crescent</t>
  </si>
  <si>
    <t>LS6 2AB</t>
  </si>
  <si>
    <t>101 Castle Street</t>
  </si>
  <si>
    <t>EH1 2NG</t>
  </si>
  <si>
    <t>Flat 6, 22 The Avenue</t>
  </si>
  <si>
    <t>BS8 3JD</t>
  </si>
  <si>
    <t>9 Seaview Terrace</t>
  </si>
  <si>
    <t>BN2 1RD</t>
  </si>
  <si>
    <t>User table</t>
  </si>
  <si>
    <t>Access_Code</t>
  </si>
  <si>
    <t>Access_codes</t>
  </si>
  <si>
    <t>Access_code</t>
  </si>
  <si>
    <t>ADMIN</t>
  </si>
  <si>
    <t>CUS_USR</t>
  </si>
  <si>
    <t>CUS_USR_MEM</t>
  </si>
  <si>
    <t>STF_USR</t>
  </si>
  <si>
    <t>Administrator</t>
  </si>
  <si>
    <t>Customer Login basic</t>
  </si>
  <si>
    <t>Customer Login Membership</t>
  </si>
  <si>
    <t>Staff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</si>
</sst>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£&quot;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0" borderId="0" xfId="0" applyFont="1"/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15" fontId="0" fillId="0" borderId="0" xfId="0" applyNumberFormat="1" applyBorder="1" applyAlignment="1">
      <alignment vertical="center" wrapText="1"/>
    </xf>
    <xf numFmtId="168" fontId="0" fillId="0" borderId="0" xfId="0" applyNumberFormat="1" applyBorder="1"/>
    <xf numFmtId="168" fontId="0" fillId="0" borderId="5" xfId="0" applyNumberFormat="1" applyBorder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/>
    <xf numFmtId="15" fontId="0" fillId="0" borderId="7" xfId="0" applyNumberFormat="1" applyBorder="1" applyAlignment="1">
      <alignment vertical="center" wrapText="1"/>
    </xf>
    <xf numFmtId="168" fontId="0" fillId="0" borderId="7" xfId="0" applyNumberFormat="1" applyBorder="1"/>
    <xf numFmtId="168" fontId="0" fillId="0" borderId="8" xfId="0" applyNumberFormat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15" fontId="0" fillId="0" borderId="0" xfId="0" applyNumberFormat="1" applyBorder="1" applyAlignment="1">
      <alignment horizontal="center" vertical="center" wrapText="1"/>
    </xf>
    <xf numFmtId="168" fontId="0" fillId="0" borderId="0" xfId="0" applyNumberFormat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15" fontId="0" fillId="0" borderId="7" xfId="0" applyNumberFormat="1" applyBorder="1" applyAlignment="1">
      <alignment horizontal="center" vertical="center" wrapText="1"/>
    </xf>
    <xf numFmtId="168" fontId="0" fillId="0" borderId="7" xfId="0" applyNumberFormat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15" fontId="0" fillId="0" borderId="8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0C3E-DA9E-4E60-889B-5F303700D2C8}">
  <dimension ref="A1:R15"/>
  <sheetViews>
    <sheetView zoomScale="70" zoomScaleNormal="70" workbookViewId="0">
      <selection activeCell="C1" sqref="A1:C1"/>
    </sheetView>
  </sheetViews>
  <sheetFormatPr defaultColWidth="21.42578125" defaultRowHeight="15" x14ac:dyDescent="0.25"/>
  <cols>
    <col min="1" max="2" width="30.7109375" customWidth="1"/>
    <col min="3" max="3" width="38.7109375" customWidth="1"/>
    <col min="4" max="4" width="30.7109375" customWidth="1"/>
    <col min="5" max="5" width="42.140625" customWidth="1"/>
    <col min="6" max="6" width="40" customWidth="1"/>
    <col min="7" max="7" width="25.5703125" style="22" customWidth="1"/>
    <col min="8" max="8" width="23.140625" customWidth="1"/>
    <col min="9" max="12" width="30.7109375" customWidth="1"/>
    <col min="13" max="13" width="21.140625" style="22" customWidth="1"/>
    <col min="14" max="15" width="30.7109375" customWidth="1"/>
    <col min="16" max="16" width="30.7109375" style="22" customWidth="1"/>
    <col min="17" max="17" width="30.7109375" customWidth="1"/>
  </cols>
  <sheetData>
    <row r="1" spans="1:18" ht="19.5" thickBot="1" x14ac:dyDescent="0.3">
      <c r="A1" s="24" t="s">
        <v>175</v>
      </c>
      <c r="B1" s="25"/>
      <c r="C1" s="26" t="s">
        <v>174</v>
      </c>
    </row>
    <row r="3" spans="1:18" ht="15.75" thickBot="1" x14ac:dyDescent="0.3"/>
    <row r="4" spans="1:18" s="3" customFormat="1" ht="46.5" customHeight="1" thickBot="1" x14ac:dyDescent="0.3">
      <c r="A4" s="19" t="s">
        <v>0</v>
      </c>
      <c r="B4" s="20" t="s">
        <v>1</v>
      </c>
      <c r="C4" s="20" t="s">
        <v>216</v>
      </c>
      <c r="D4" s="20" t="s">
        <v>3</v>
      </c>
      <c r="E4" s="20" t="s">
        <v>4</v>
      </c>
      <c r="F4" s="20" t="s">
        <v>227</v>
      </c>
      <c r="G4" s="20" t="s">
        <v>243</v>
      </c>
      <c r="H4" s="20" t="s">
        <v>130</v>
      </c>
      <c r="I4" s="20" t="s">
        <v>11</v>
      </c>
      <c r="J4" s="20" t="s">
        <v>12</v>
      </c>
      <c r="K4" s="20" t="s">
        <v>13</v>
      </c>
      <c r="L4" s="20" t="s">
        <v>6</v>
      </c>
      <c r="M4" s="20" t="s">
        <v>244</v>
      </c>
      <c r="N4" s="20" t="s">
        <v>133</v>
      </c>
      <c r="O4" s="20" t="s">
        <v>134</v>
      </c>
      <c r="P4" s="20" t="s">
        <v>234</v>
      </c>
      <c r="Q4" s="21" t="s">
        <v>215</v>
      </c>
    </row>
    <row r="5" spans="1:18" ht="30" x14ac:dyDescent="0.25">
      <c r="A5" s="4" t="s">
        <v>14</v>
      </c>
      <c r="B5" s="5" t="s">
        <v>15</v>
      </c>
      <c r="C5" s="5" t="s">
        <v>217</v>
      </c>
      <c r="D5" s="5" t="s">
        <v>34</v>
      </c>
      <c r="E5" s="5" t="s">
        <v>35</v>
      </c>
      <c r="F5" s="5" t="s">
        <v>228</v>
      </c>
      <c r="G5" s="5" t="s">
        <v>238</v>
      </c>
      <c r="H5" s="5" t="s">
        <v>233</v>
      </c>
      <c r="I5" s="5" t="s">
        <v>69</v>
      </c>
      <c r="J5" s="6" t="s">
        <v>63</v>
      </c>
      <c r="K5" s="5" t="s">
        <v>126</v>
      </c>
      <c r="L5" s="5" t="s">
        <v>135</v>
      </c>
      <c r="M5" s="5" t="s">
        <v>246</v>
      </c>
      <c r="N5" s="7">
        <v>45936</v>
      </c>
      <c r="O5" s="7" t="s">
        <v>132</v>
      </c>
      <c r="P5" s="7" t="s">
        <v>235</v>
      </c>
      <c r="Q5" s="9" t="s">
        <v>208</v>
      </c>
    </row>
    <row r="6" spans="1:18" ht="30" x14ac:dyDescent="0.25">
      <c r="A6" s="4" t="s">
        <v>16</v>
      </c>
      <c r="B6" s="5" t="s">
        <v>17</v>
      </c>
      <c r="C6" s="5" t="s">
        <v>218</v>
      </c>
      <c r="D6" s="5" t="s">
        <v>40</v>
      </c>
      <c r="E6" s="5" t="s">
        <v>41</v>
      </c>
      <c r="F6" s="5" t="s">
        <v>229</v>
      </c>
      <c r="G6" s="5" t="s">
        <v>240</v>
      </c>
      <c r="H6" s="5" t="s">
        <v>132</v>
      </c>
      <c r="I6" s="5" t="s">
        <v>70</v>
      </c>
      <c r="J6" s="6" t="s">
        <v>68</v>
      </c>
      <c r="K6" s="5" t="s">
        <v>127</v>
      </c>
      <c r="L6" s="5" t="s">
        <v>141</v>
      </c>
      <c r="M6" s="5" t="s">
        <v>245</v>
      </c>
      <c r="N6" s="7">
        <v>45931</v>
      </c>
      <c r="O6" s="7" t="s">
        <v>131</v>
      </c>
      <c r="P6" s="7" t="s">
        <v>236</v>
      </c>
      <c r="Q6" s="9" t="s">
        <v>209</v>
      </c>
      <c r="R6" s="22"/>
    </row>
    <row r="7" spans="1:18" ht="30" x14ac:dyDescent="0.25">
      <c r="A7" s="4" t="s">
        <v>18</v>
      </c>
      <c r="B7" s="5" t="s">
        <v>19</v>
      </c>
      <c r="C7" s="5" t="s">
        <v>219</v>
      </c>
      <c r="D7" s="5" t="s">
        <v>40</v>
      </c>
      <c r="E7" s="5" t="s">
        <v>41</v>
      </c>
      <c r="F7" s="5" t="s">
        <v>229</v>
      </c>
      <c r="G7" s="5" t="s">
        <v>240</v>
      </c>
      <c r="H7" s="5" t="s">
        <v>132</v>
      </c>
      <c r="I7" s="5" t="s">
        <v>71</v>
      </c>
      <c r="J7" s="6" t="s">
        <v>62</v>
      </c>
      <c r="K7" s="5" t="s">
        <v>127</v>
      </c>
      <c r="L7" s="5" t="s">
        <v>141</v>
      </c>
      <c r="M7" s="5" t="s">
        <v>245</v>
      </c>
      <c r="N7" s="7">
        <v>45945</v>
      </c>
      <c r="O7" s="7" t="s">
        <v>132</v>
      </c>
      <c r="P7" s="7" t="s">
        <v>235</v>
      </c>
      <c r="Q7" s="9" t="s">
        <v>209</v>
      </c>
      <c r="R7" s="22"/>
    </row>
    <row r="8" spans="1:18" ht="30" x14ac:dyDescent="0.25">
      <c r="A8" s="4" t="s">
        <v>20</v>
      </c>
      <c r="B8" s="5" t="s">
        <v>21</v>
      </c>
      <c r="C8" s="5" t="s">
        <v>220</v>
      </c>
      <c r="D8" s="5" t="s">
        <v>34</v>
      </c>
      <c r="E8" s="5" t="s">
        <v>35</v>
      </c>
      <c r="F8" s="5" t="s">
        <v>230</v>
      </c>
      <c r="G8" s="5" t="s">
        <v>238</v>
      </c>
      <c r="H8" s="5" t="s">
        <v>132</v>
      </c>
      <c r="I8" s="5" t="s">
        <v>72</v>
      </c>
      <c r="J8" s="6" t="s">
        <v>67</v>
      </c>
      <c r="K8" s="5" t="s">
        <v>126</v>
      </c>
      <c r="L8" s="5" t="s">
        <v>135</v>
      </c>
      <c r="M8" s="5" t="s">
        <v>246</v>
      </c>
      <c r="N8" s="7">
        <v>45940</v>
      </c>
      <c r="O8" s="7" t="s">
        <v>132</v>
      </c>
      <c r="P8" s="7" t="s">
        <v>235</v>
      </c>
      <c r="Q8" s="9" t="s">
        <v>208</v>
      </c>
      <c r="R8" s="22"/>
    </row>
    <row r="9" spans="1:18" ht="30" x14ac:dyDescent="0.25">
      <c r="A9" s="4" t="s">
        <v>22</v>
      </c>
      <c r="B9" s="5" t="s">
        <v>23</v>
      </c>
      <c r="C9" s="5" t="s">
        <v>221</v>
      </c>
      <c r="D9" s="5" t="s">
        <v>34</v>
      </c>
      <c r="E9" s="5" t="s">
        <v>35</v>
      </c>
      <c r="F9" s="5" t="s">
        <v>230</v>
      </c>
      <c r="G9" s="5" t="s">
        <v>239</v>
      </c>
      <c r="H9" s="5" t="s">
        <v>132</v>
      </c>
      <c r="I9" s="5" t="s">
        <v>73</v>
      </c>
      <c r="J9" s="6" t="s">
        <v>62</v>
      </c>
      <c r="K9" s="5" t="s">
        <v>128</v>
      </c>
      <c r="L9" s="5" t="s">
        <v>138</v>
      </c>
      <c r="M9" s="5" t="s">
        <v>245</v>
      </c>
      <c r="N9" s="7">
        <v>45933</v>
      </c>
      <c r="O9" s="7" t="s">
        <v>132</v>
      </c>
      <c r="P9" s="7" t="s">
        <v>236</v>
      </c>
      <c r="Q9" s="9" t="s">
        <v>210</v>
      </c>
      <c r="R9" s="22"/>
    </row>
    <row r="10" spans="1:18" ht="60" x14ac:dyDescent="0.25">
      <c r="A10" s="4" t="s">
        <v>24</v>
      </c>
      <c r="B10" s="5" t="s">
        <v>25</v>
      </c>
      <c r="C10" s="5" t="s">
        <v>222</v>
      </c>
      <c r="D10" s="5" t="s">
        <v>38</v>
      </c>
      <c r="E10" s="5" t="s">
        <v>39</v>
      </c>
      <c r="F10" s="5" t="s">
        <v>231</v>
      </c>
      <c r="G10" s="5" t="s">
        <v>241</v>
      </c>
      <c r="H10" s="5" t="s">
        <v>132</v>
      </c>
      <c r="I10" s="5" t="s">
        <v>74</v>
      </c>
      <c r="J10" s="6" t="s">
        <v>65</v>
      </c>
      <c r="K10" s="5" t="s">
        <v>129</v>
      </c>
      <c r="L10" s="5" t="s">
        <v>137</v>
      </c>
      <c r="M10" s="5" t="s">
        <v>245</v>
      </c>
      <c r="N10" s="7">
        <v>45948</v>
      </c>
      <c r="O10" s="7" t="s">
        <v>132</v>
      </c>
      <c r="P10" s="7" t="s">
        <v>235</v>
      </c>
      <c r="Q10" s="9" t="s">
        <v>211</v>
      </c>
      <c r="R10" s="22"/>
    </row>
    <row r="11" spans="1:18" ht="30" x14ac:dyDescent="0.25">
      <c r="A11" s="4" t="s">
        <v>26</v>
      </c>
      <c r="B11" s="5" t="s">
        <v>27</v>
      </c>
      <c r="C11" s="5" t="s">
        <v>223</v>
      </c>
      <c r="D11" s="5" t="s">
        <v>34</v>
      </c>
      <c r="E11" s="5" t="s">
        <v>35</v>
      </c>
      <c r="F11" s="5" t="s">
        <v>228</v>
      </c>
      <c r="G11" s="5" t="s">
        <v>238</v>
      </c>
      <c r="H11" s="5" t="s">
        <v>233</v>
      </c>
      <c r="I11" s="5" t="s">
        <v>75</v>
      </c>
      <c r="J11" s="6" t="s">
        <v>66</v>
      </c>
      <c r="K11" s="5" t="s">
        <v>128</v>
      </c>
      <c r="L11" s="5" t="s">
        <v>139</v>
      </c>
      <c r="M11" s="5" t="s">
        <v>245</v>
      </c>
      <c r="N11" s="7">
        <v>45939</v>
      </c>
      <c r="O11" s="7" t="s">
        <v>132</v>
      </c>
      <c r="P11" s="7" t="s">
        <v>237</v>
      </c>
      <c r="Q11" s="9" t="s">
        <v>210</v>
      </c>
      <c r="R11" s="22"/>
    </row>
    <row r="12" spans="1:18" ht="45" x14ac:dyDescent="0.25">
      <c r="A12" s="4" t="s">
        <v>28</v>
      </c>
      <c r="B12" s="5" t="s">
        <v>29</v>
      </c>
      <c r="C12" s="5" t="s">
        <v>224</v>
      </c>
      <c r="D12" s="5" t="s">
        <v>38</v>
      </c>
      <c r="E12" s="5" t="s">
        <v>39</v>
      </c>
      <c r="F12" s="5" t="s">
        <v>231</v>
      </c>
      <c r="G12" s="5" t="s">
        <v>241</v>
      </c>
      <c r="H12" s="5" t="s">
        <v>132</v>
      </c>
      <c r="I12" s="5" t="s">
        <v>76</v>
      </c>
      <c r="J12" s="6" t="s">
        <v>61</v>
      </c>
      <c r="K12" s="5" t="s">
        <v>126</v>
      </c>
      <c r="L12" s="5" t="s">
        <v>136</v>
      </c>
      <c r="M12" s="5" t="s">
        <v>246</v>
      </c>
      <c r="N12" s="7">
        <v>45943</v>
      </c>
      <c r="O12" s="7" t="s">
        <v>132</v>
      </c>
      <c r="P12" s="7" t="s">
        <v>237</v>
      </c>
      <c r="Q12" s="9" t="s">
        <v>212</v>
      </c>
      <c r="R12" s="22"/>
    </row>
    <row r="13" spans="1:18" ht="30" x14ac:dyDescent="0.25">
      <c r="A13" s="4" t="s">
        <v>30</v>
      </c>
      <c r="B13" s="5" t="s">
        <v>31</v>
      </c>
      <c r="C13" s="5" t="s">
        <v>225</v>
      </c>
      <c r="D13" s="5" t="s">
        <v>34</v>
      </c>
      <c r="E13" s="5" t="s">
        <v>35</v>
      </c>
      <c r="F13" s="5" t="s">
        <v>230</v>
      </c>
      <c r="G13" s="5" t="s">
        <v>239</v>
      </c>
      <c r="H13" s="5" t="s">
        <v>132</v>
      </c>
      <c r="I13" s="5" t="s">
        <v>77</v>
      </c>
      <c r="J13" s="6" t="s">
        <v>64</v>
      </c>
      <c r="K13" s="5" t="s">
        <v>129</v>
      </c>
      <c r="L13" s="5" t="s">
        <v>140</v>
      </c>
      <c r="M13" s="5" t="s">
        <v>245</v>
      </c>
      <c r="N13" s="7">
        <v>45928</v>
      </c>
      <c r="O13" s="7" t="s">
        <v>131</v>
      </c>
      <c r="P13" s="7" t="s">
        <v>235</v>
      </c>
      <c r="Q13" s="9" t="s">
        <v>213</v>
      </c>
      <c r="R13" s="22"/>
    </row>
    <row r="14" spans="1:18" ht="30.75" thickBot="1" x14ac:dyDescent="0.3">
      <c r="A14" s="10" t="s">
        <v>32</v>
      </c>
      <c r="B14" s="11" t="s">
        <v>33</v>
      </c>
      <c r="C14" s="11" t="s">
        <v>226</v>
      </c>
      <c r="D14" s="11" t="s">
        <v>36</v>
      </c>
      <c r="E14" s="11" t="s">
        <v>37</v>
      </c>
      <c r="F14" s="11" t="s">
        <v>232</v>
      </c>
      <c r="G14" s="11" t="s">
        <v>242</v>
      </c>
      <c r="H14" s="11" t="s">
        <v>132</v>
      </c>
      <c r="I14" s="11" t="s">
        <v>78</v>
      </c>
      <c r="J14" s="12" t="s">
        <v>66</v>
      </c>
      <c r="K14" s="11" t="s">
        <v>128</v>
      </c>
      <c r="L14" s="11" t="s">
        <v>138</v>
      </c>
      <c r="M14" s="13" t="s">
        <v>245</v>
      </c>
      <c r="N14" s="13">
        <v>45946</v>
      </c>
      <c r="O14" s="13" t="s">
        <v>132</v>
      </c>
      <c r="P14" s="13" t="s">
        <v>236</v>
      </c>
      <c r="Q14" s="15" t="s">
        <v>214</v>
      </c>
      <c r="R14" s="22"/>
    </row>
    <row r="15" spans="1:18" x14ac:dyDescent="0.25">
      <c r="H15" s="1"/>
      <c r="N15" s="1"/>
      <c r="O15" s="2"/>
      <c r="P15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0FAB-22A5-4637-A5BE-44A0CD83F43D}">
  <dimension ref="A1:Z15"/>
  <sheetViews>
    <sheetView zoomScale="70" zoomScaleNormal="70" workbookViewId="0">
      <selection activeCell="C1" sqref="A1:C1"/>
    </sheetView>
  </sheetViews>
  <sheetFormatPr defaultColWidth="21.42578125" defaultRowHeight="15" x14ac:dyDescent="0.25"/>
  <cols>
    <col min="1" max="1" width="21.7109375" style="22" customWidth="1"/>
    <col min="2" max="2" width="30.42578125" style="22" customWidth="1"/>
    <col min="3" max="3" width="21.7109375" style="22" customWidth="1"/>
    <col min="4" max="4" width="32.28515625" style="22" customWidth="1"/>
    <col min="5" max="5" width="25.140625" style="22" customWidth="1"/>
    <col min="6" max="6" width="30.5703125" style="22" customWidth="1"/>
    <col min="7" max="7" width="36.28515625" style="22" customWidth="1"/>
    <col min="8" max="9" width="21.42578125" style="22"/>
    <col min="10" max="10" width="38.5703125" style="22" customWidth="1"/>
    <col min="11" max="11" width="25.5703125" style="22" customWidth="1"/>
    <col min="12" max="16" width="21.42578125" style="22"/>
    <col min="17" max="17" width="25.140625" style="22" customWidth="1"/>
    <col min="18" max="18" width="27.140625" style="22" customWidth="1"/>
    <col min="19" max="19" width="39.7109375" style="22" customWidth="1"/>
    <col min="20" max="21" width="33.5703125" style="22" customWidth="1"/>
    <col min="22" max="16384" width="21.42578125" style="22"/>
  </cols>
  <sheetData>
    <row r="1" spans="1:26" ht="19.5" thickBot="1" x14ac:dyDescent="0.3">
      <c r="A1" s="24" t="s">
        <v>175</v>
      </c>
      <c r="B1" s="25"/>
      <c r="C1" s="26" t="s">
        <v>176</v>
      </c>
    </row>
    <row r="3" spans="1:26" ht="15.75" thickBot="1" x14ac:dyDescent="0.3"/>
    <row r="4" spans="1:26" s="3" customFormat="1" ht="46.5" customHeight="1" thickBot="1" x14ac:dyDescent="0.3">
      <c r="A4" s="19" t="s">
        <v>0</v>
      </c>
      <c r="B4" s="20" t="s">
        <v>1</v>
      </c>
      <c r="C4" s="20" t="s">
        <v>177</v>
      </c>
      <c r="D4" s="20" t="s">
        <v>142</v>
      </c>
      <c r="E4" s="20" t="s">
        <v>143</v>
      </c>
      <c r="F4" s="20" t="s">
        <v>3</v>
      </c>
      <c r="G4" s="20" t="s">
        <v>4</v>
      </c>
      <c r="H4" s="20" t="s">
        <v>243</v>
      </c>
      <c r="I4" s="20" t="s">
        <v>199</v>
      </c>
      <c r="J4" s="20" t="s">
        <v>164</v>
      </c>
      <c r="K4" s="20" t="s">
        <v>165</v>
      </c>
      <c r="L4" s="20" t="s">
        <v>10</v>
      </c>
      <c r="M4" s="20" t="s">
        <v>250</v>
      </c>
      <c r="N4" s="20" t="s">
        <v>251</v>
      </c>
      <c r="O4" s="20" t="s">
        <v>11</v>
      </c>
      <c r="P4" s="20" t="s">
        <v>247</v>
      </c>
      <c r="Q4" s="20" t="s">
        <v>248</v>
      </c>
      <c r="R4" s="20" t="s">
        <v>13</v>
      </c>
      <c r="S4" s="20" t="s">
        <v>6</v>
      </c>
      <c r="T4" s="20" t="s">
        <v>244</v>
      </c>
      <c r="U4" s="20" t="s">
        <v>133</v>
      </c>
      <c r="V4" s="20" t="s">
        <v>134</v>
      </c>
      <c r="W4" s="20" t="s">
        <v>234</v>
      </c>
      <c r="X4" s="20" t="s">
        <v>7</v>
      </c>
      <c r="Y4" s="20" t="s">
        <v>8</v>
      </c>
      <c r="Z4" s="21" t="s">
        <v>9</v>
      </c>
    </row>
    <row r="5" spans="1:26" ht="30" x14ac:dyDescent="0.25">
      <c r="A5" s="4" t="s">
        <v>14</v>
      </c>
      <c r="B5" s="5" t="s">
        <v>179</v>
      </c>
      <c r="C5" s="5" t="s">
        <v>178</v>
      </c>
      <c r="D5" s="5" t="s">
        <v>144</v>
      </c>
      <c r="E5" s="5" t="s">
        <v>145</v>
      </c>
      <c r="F5" s="5" t="s">
        <v>34</v>
      </c>
      <c r="G5" s="5" t="s">
        <v>200</v>
      </c>
      <c r="H5" s="5" t="s">
        <v>238</v>
      </c>
      <c r="I5" s="5" t="s">
        <v>198</v>
      </c>
      <c r="J5" s="5" t="s">
        <v>166</v>
      </c>
      <c r="K5" s="5" t="s">
        <v>167</v>
      </c>
      <c r="L5" s="5" t="s">
        <v>43</v>
      </c>
      <c r="M5" s="5" t="s">
        <v>131</v>
      </c>
      <c r="N5" s="5" t="s">
        <v>36</v>
      </c>
      <c r="O5" s="5" t="s">
        <v>69</v>
      </c>
      <c r="P5" s="5" t="s">
        <v>49</v>
      </c>
      <c r="Q5" s="6" t="s">
        <v>50</v>
      </c>
      <c r="R5" s="5" t="s">
        <v>126</v>
      </c>
      <c r="S5" s="5" t="s">
        <v>135</v>
      </c>
      <c r="T5" s="5" t="s">
        <v>246</v>
      </c>
      <c r="U5" s="7">
        <v>45936</v>
      </c>
      <c r="V5" s="7" t="s">
        <v>132</v>
      </c>
      <c r="W5" s="7" t="s">
        <v>235</v>
      </c>
      <c r="X5" s="8">
        <v>180</v>
      </c>
      <c r="Y5" s="8">
        <f t="shared" ref="Y5:Y8" si="0">X5*0.2</f>
        <v>36</v>
      </c>
      <c r="Z5" s="9">
        <f t="shared" ref="Z5:Z8" si="1">X5+Y5</f>
        <v>216</v>
      </c>
    </row>
    <row r="6" spans="1:26" ht="30" x14ac:dyDescent="0.25">
      <c r="A6" s="4" t="s">
        <v>16</v>
      </c>
      <c r="B6" s="5" t="s">
        <v>189</v>
      </c>
      <c r="C6" s="5" t="s">
        <v>180</v>
      </c>
      <c r="D6" s="5" t="s">
        <v>146</v>
      </c>
      <c r="E6" s="5" t="s">
        <v>147</v>
      </c>
      <c r="F6" s="5" t="s">
        <v>40</v>
      </c>
      <c r="G6" s="5" t="s">
        <v>201</v>
      </c>
      <c r="H6" s="5" t="s">
        <v>240</v>
      </c>
      <c r="I6" s="5" t="s">
        <v>202</v>
      </c>
      <c r="J6" s="5" t="s">
        <v>168</v>
      </c>
      <c r="K6" s="5" t="s">
        <v>169</v>
      </c>
      <c r="L6" s="5" t="s">
        <v>44</v>
      </c>
      <c r="M6" s="5" t="s">
        <v>132</v>
      </c>
      <c r="N6" s="5" t="s">
        <v>245</v>
      </c>
      <c r="O6" s="5" t="s">
        <v>70</v>
      </c>
      <c r="P6" s="5" t="s">
        <v>49</v>
      </c>
      <c r="Q6" s="6" t="s">
        <v>249</v>
      </c>
      <c r="R6" s="5" t="s">
        <v>127</v>
      </c>
      <c r="S6" s="5" t="s">
        <v>141</v>
      </c>
      <c r="T6" s="5" t="s">
        <v>245</v>
      </c>
      <c r="U6" s="7">
        <v>45931</v>
      </c>
      <c r="V6" s="7" t="s">
        <v>131</v>
      </c>
      <c r="W6" s="7" t="s">
        <v>236</v>
      </c>
      <c r="X6" s="8">
        <v>80</v>
      </c>
      <c r="Y6" s="8">
        <f t="shared" si="0"/>
        <v>16</v>
      </c>
      <c r="Z6" s="9">
        <f t="shared" si="1"/>
        <v>96</v>
      </c>
    </row>
    <row r="7" spans="1:26" ht="30" x14ac:dyDescent="0.25">
      <c r="A7" s="4" t="s">
        <v>18</v>
      </c>
      <c r="B7" s="5" t="s">
        <v>190</v>
      </c>
      <c r="C7" s="5" t="s">
        <v>181</v>
      </c>
      <c r="D7" s="5" t="s">
        <v>148</v>
      </c>
      <c r="E7" s="5" t="s">
        <v>149</v>
      </c>
      <c r="F7" s="5" t="s">
        <v>40</v>
      </c>
      <c r="G7" s="5" t="s">
        <v>201</v>
      </c>
      <c r="H7" s="5" t="s">
        <v>240</v>
      </c>
      <c r="I7" s="5" t="s">
        <v>202</v>
      </c>
      <c r="J7" s="5" t="s">
        <v>168</v>
      </c>
      <c r="K7" s="5" t="s">
        <v>169</v>
      </c>
      <c r="L7" s="5" t="s">
        <v>44</v>
      </c>
      <c r="M7" s="5" t="s">
        <v>132</v>
      </c>
      <c r="N7" s="5" t="s">
        <v>245</v>
      </c>
      <c r="O7" s="5" t="s">
        <v>71</v>
      </c>
      <c r="P7" s="5" t="s">
        <v>47</v>
      </c>
      <c r="Q7" s="6" t="s">
        <v>48</v>
      </c>
      <c r="R7" s="5" t="s">
        <v>127</v>
      </c>
      <c r="S7" s="5" t="s">
        <v>141</v>
      </c>
      <c r="T7" s="5" t="s">
        <v>245</v>
      </c>
      <c r="U7" s="7">
        <v>45945</v>
      </c>
      <c r="V7" s="7" t="s">
        <v>132</v>
      </c>
      <c r="W7" s="7" t="s">
        <v>235</v>
      </c>
      <c r="X7" s="8">
        <v>80</v>
      </c>
      <c r="Y7" s="8">
        <f t="shared" si="0"/>
        <v>16</v>
      </c>
      <c r="Z7" s="9">
        <f t="shared" si="1"/>
        <v>96</v>
      </c>
    </row>
    <row r="8" spans="1:26" ht="30" x14ac:dyDescent="0.25">
      <c r="A8" s="4" t="s">
        <v>20</v>
      </c>
      <c r="B8" s="5" t="s">
        <v>191</v>
      </c>
      <c r="C8" s="5" t="s">
        <v>182</v>
      </c>
      <c r="D8" s="5" t="s">
        <v>150</v>
      </c>
      <c r="E8" s="5" t="s">
        <v>151</v>
      </c>
      <c r="F8" s="5" t="s">
        <v>34</v>
      </c>
      <c r="G8" s="5" t="s">
        <v>203</v>
      </c>
      <c r="H8" s="5" t="s">
        <v>238</v>
      </c>
      <c r="I8" s="5" t="s">
        <v>198</v>
      </c>
      <c r="J8" s="5" t="s">
        <v>166</v>
      </c>
      <c r="K8" s="5" t="s">
        <v>167</v>
      </c>
      <c r="L8" s="5" t="s">
        <v>42</v>
      </c>
      <c r="M8" s="5" t="s">
        <v>132</v>
      </c>
      <c r="N8" s="5" t="s">
        <v>245</v>
      </c>
      <c r="O8" s="5" t="s">
        <v>72</v>
      </c>
      <c r="P8" s="5" t="s">
        <v>59</v>
      </c>
      <c r="Q8" s="6" t="s">
        <v>60</v>
      </c>
      <c r="R8" s="5" t="s">
        <v>126</v>
      </c>
      <c r="S8" s="5" t="s">
        <v>135</v>
      </c>
      <c r="T8" s="5" t="s">
        <v>246</v>
      </c>
      <c r="U8" s="7">
        <v>45940</v>
      </c>
      <c r="V8" s="7" t="s">
        <v>132</v>
      </c>
      <c r="W8" s="7" t="s">
        <v>235</v>
      </c>
      <c r="X8" s="8">
        <v>180</v>
      </c>
      <c r="Y8" s="8">
        <f t="shared" si="0"/>
        <v>36</v>
      </c>
      <c r="Z8" s="9">
        <f t="shared" si="1"/>
        <v>216</v>
      </c>
    </row>
    <row r="9" spans="1:26" x14ac:dyDescent="0.25">
      <c r="A9" s="4" t="s">
        <v>22</v>
      </c>
      <c r="B9" s="5" t="s">
        <v>192</v>
      </c>
      <c r="C9" s="5" t="s">
        <v>183</v>
      </c>
      <c r="D9" s="5" t="s">
        <v>152</v>
      </c>
      <c r="E9" s="5" t="s">
        <v>153</v>
      </c>
      <c r="F9" s="5" t="s">
        <v>34</v>
      </c>
      <c r="G9" s="5" t="s">
        <v>203</v>
      </c>
      <c r="H9" s="5" t="s">
        <v>239</v>
      </c>
      <c r="I9" s="5" t="s">
        <v>198</v>
      </c>
      <c r="J9" s="5" t="s">
        <v>166</v>
      </c>
      <c r="K9" s="5" t="s">
        <v>167</v>
      </c>
      <c r="L9" s="5" t="s">
        <v>42</v>
      </c>
      <c r="M9" s="5" t="s">
        <v>132</v>
      </c>
      <c r="N9" s="5" t="s">
        <v>245</v>
      </c>
      <c r="O9" s="5" t="s">
        <v>73</v>
      </c>
      <c r="P9" s="5" t="s">
        <v>47</v>
      </c>
      <c r="Q9" s="6" t="s">
        <v>48</v>
      </c>
      <c r="R9" s="5" t="s">
        <v>128</v>
      </c>
      <c r="S9" s="5" t="s">
        <v>138</v>
      </c>
      <c r="T9" s="5" t="s">
        <v>245</v>
      </c>
      <c r="U9" s="7">
        <v>45933</v>
      </c>
      <c r="V9" s="7" t="s">
        <v>132</v>
      </c>
      <c r="W9" s="7" t="s">
        <v>236</v>
      </c>
      <c r="X9" s="8">
        <v>120</v>
      </c>
      <c r="Y9" s="8">
        <f>X9*0.2</f>
        <v>24</v>
      </c>
      <c r="Z9" s="9">
        <f>X9+Y9</f>
        <v>144</v>
      </c>
    </row>
    <row r="10" spans="1:26" ht="45" x14ac:dyDescent="0.25">
      <c r="A10" s="4" t="s">
        <v>24</v>
      </c>
      <c r="B10" s="5" t="s">
        <v>193</v>
      </c>
      <c r="C10" s="5" t="s">
        <v>184</v>
      </c>
      <c r="D10" s="5" t="s">
        <v>154</v>
      </c>
      <c r="E10" s="5" t="s">
        <v>155</v>
      </c>
      <c r="F10" s="5" t="s">
        <v>38</v>
      </c>
      <c r="G10" s="5" t="s">
        <v>204</v>
      </c>
      <c r="H10" s="5" t="s">
        <v>241</v>
      </c>
      <c r="I10" s="5" t="s">
        <v>205</v>
      </c>
      <c r="J10" s="5" t="s">
        <v>170</v>
      </c>
      <c r="K10" s="5" t="s">
        <v>171</v>
      </c>
      <c r="L10" s="5" t="s">
        <v>45</v>
      </c>
      <c r="M10" s="5" t="s">
        <v>132</v>
      </c>
      <c r="N10" s="5" t="s">
        <v>245</v>
      </c>
      <c r="O10" s="5" t="s">
        <v>74</v>
      </c>
      <c r="P10" s="5" t="s">
        <v>55</v>
      </c>
      <c r="Q10" s="6" t="s">
        <v>56</v>
      </c>
      <c r="R10" s="5" t="s">
        <v>129</v>
      </c>
      <c r="S10" s="5" t="s">
        <v>137</v>
      </c>
      <c r="T10" s="5" t="s">
        <v>245</v>
      </c>
      <c r="U10" s="7">
        <v>45948</v>
      </c>
      <c r="V10" s="7" t="s">
        <v>132</v>
      </c>
      <c r="W10" s="7" t="s">
        <v>235</v>
      </c>
      <c r="X10" s="8">
        <v>450</v>
      </c>
      <c r="Y10" s="8">
        <f t="shared" ref="Y10:Y14" si="2">X10*0.2</f>
        <v>90</v>
      </c>
      <c r="Z10" s="9">
        <f t="shared" ref="Z10:Z14" si="3">X10+Y10</f>
        <v>540</v>
      </c>
    </row>
    <row r="11" spans="1:26" x14ac:dyDescent="0.25">
      <c r="A11" s="4" t="s">
        <v>26</v>
      </c>
      <c r="B11" s="5" t="s">
        <v>194</v>
      </c>
      <c r="C11" s="5" t="s">
        <v>185</v>
      </c>
      <c r="D11" s="5" t="s">
        <v>156</v>
      </c>
      <c r="E11" s="5" t="s">
        <v>157</v>
      </c>
      <c r="F11" s="5" t="s">
        <v>34</v>
      </c>
      <c r="G11" s="5" t="s">
        <v>203</v>
      </c>
      <c r="H11" s="5" t="s">
        <v>238</v>
      </c>
      <c r="I11" s="5" t="s">
        <v>198</v>
      </c>
      <c r="J11" s="5" t="s">
        <v>166</v>
      </c>
      <c r="K11" s="5" t="s">
        <v>167</v>
      </c>
      <c r="L11" s="5" t="s">
        <v>43</v>
      </c>
      <c r="M11" s="5" t="s">
        <v>131</v>
      </c>
      <c r="N11" s="5" t="s">
        <v>36</v>
      </c>
      <c r="O11" s="5" t="s">
        <v>75</v>
      </c>
      <c r="P11" s="5" t="s">
        <v>57</v>
      </c>
      <c r="Q11" s="6" t="s">
        <v>58</v>
      </c>
      <c r="R11" s="5" t="s">
        <v>128</v>
      </c>
      <c r="S11" s="5" t="s">
        <v>139</v>
      </c>
      <c r="T11" s="5" t="s">
        <v>245</v>
      </c>
      <c r="U11" s="7">
        <v>45939</v>
      </c>
      <c r="V11" s="7" t="s">
        <v>132</v>
      </c>
      <c r="W11" s="7" t="s">
        <v>237</v>
      </c>
      <c r="X11" s="8">
        <v>120</v>
      </c>
      <c r="Y11" s="8">
        <f t="shared" si="2"/>
        <v>24</v>
      </c>
      <c r="Z11" s="9">
        <f t="shared" si="3"/>
        <v>144</v>
      </c>
    </row>
    <row r="12" spans="1:26" ht="30" x14ac:dyDescent="0.25">
      <c r="A12" s="4" t="s">
        <v>28</v>
      </c>
      <c r="B12" s="5" t="s">
        <v>195</v>
      </c>
      <c r="C12" s="5" t="s">
        <v>186</v>
      </c>
      <c r="D12" s="5" t="s">
        <v>158</v>
      </c>
      <c r="E12" s="5" t="s">
        <v>159</v>
      </c>
      <c r="F12" s="5" t="s">
        <v>38</v>
      </c>
      <c r="G12" s="5" t="s">
        <v>204</v>
      </c>
      <c r="H12" s="5" t="s">
        <v>241</v>
      </c>
      <c r="I12" s="5" t="s">
        <v>205</v>
      </c>
      <c r="J12" s="5" t="s">
        <v>170</v>
      </c>
      <c r="K12" s="5" t="s">
        <v>171</v>
      </c>
      <c r="L12" s="5" t="s">
        <v>45</v>
      </c>
      <c r="M12" s="5" t="s">
        <v>132</v>
      </c>
      <c r="N12" s="5" t="s">
        <v>245</v>
      </c>
      <c r="O12" s="5" t="s">
        <v>76</v>
      </c>
      <c r="P12" s="5" t="s">
        <v>53</v>
      </c>
      <c r="Q12" s="6" t="s">
        <v>54</v>
      </c>
      <c r="R12" s="5" t="s">
        <v>126</v>
      </c>
      <c r="S12" s="5" t="s">
        <v>136</v>
      </c>
      <c r="T12" s="5" t="s">
        <v>246</v>
      </c>
      <c r="U12" s="7">
        <v>45943</v>
      </c>
      <c r="V12" s="7" t="s">
        <v>132</v>
      </c>
      <c r="W12" s="7" t="s">
        <v>237</v>
      </c>
      <c r="X12" s="8">
        <v>175</v>
      </c>
      <c r="Y12" s="8">
        <f t="shared" si="2"/>
        <v>35</v>
      </c>
      <c r="Z12" s="9">
        <f t="shared" si="3"/>
        <v>210</v>
      </c>
    </row>
    <row r="13" spans="1:26" x14ac:dyDescent="0.25">
      <c r="A13" s="4" t="s">
        <v>30</v>
      </c>
      <c r="B13" s="5" t="s">
        <v>196</v>
      </c>
      <c r="C13" s="5" t="s">
        <v>187</v>
      </c>
      <c r="D13" s="5" t="s">
        <v>160</v>
      </c>
      <c r="E13" s="5" t="s">
        <v>161</v>
      </c>
      <c r="F13" s="5" t="s">
        <v>34</v>
      </c>
      <c r="G13" s="5" t="s">
        <v>203</v>
      </c>
      <c r="H13" s="5" t="s">
        <v>239</v>
      </c>
      <c r="I13" s="5" t="s">
        <v>198</v>
      </c>
      <c r="J13" s="5" t="s">
        <v>166</v>
      </c>
      <c r="K13" s="5" t="s">
        <v>167</v>
      </c>
      <c r="L13" s="5" t="s">
        <v>42</v>
      </c>
      <c r="M13" s="5" t="s">
        <v>132</v>
      </c>
      <c r="N13" s="5" t="s">
        <v>245</v>
      </c>
      <c r="O13" s="5" t="s">
        <v>77</v>
      </c>
      <c r="P13" s="5" t="s">
        <v>51</v>
      </c>
      <c r="Q13" s="6" t="s">
        <v>52</v>
      </c>
      <c r="R13" s="5" t="s">
        <v>129</v>
      </c>
      <c r="S13" s="5" t="s">
        <v>140</v>
      </c>
      <c r="T13" s="5" t="s">
        <v>245</v>
      </c>
      <c r="U13" s="7">
        <v>45928</v>
      </c>
      <c r="V13" s="7" t="s">
        <v>131</v>
      </c>
      <c r="W13" s="7" t="s">
        <v>235</v>
      </c>
      <c r="X13" s="8">
        <v>85</v>
      </c>
      <c r="Y13" s="8">
        <f t="shared" si="2"/>
        <v>17</v>
      </c>
      <c r="Z13" s="9">
        <f t="shared" si="3"/>
        <v>102</v>
      </c>
    </row>
    <row r="14" spans="1:26" ht="30.75" thickBot="1" x14ac:dyDescent="0.3">
      <c r="A14" s="10" t="s">
        <v>32</v>
      </c>
      <c r="B14" s="11" t="s">
        <v>197</v>
      </c>
      <c r="C14" s="11" t="s">
        <v>188</v>
      </c>
      <c r="D14" s="11" t="s">
        <v>162</v>
      </c>
      <c r="E14" s="11" t="s">
        <v>163</v>
      </c>
      <c r="F14" s="11" t="s">
        <v>36</v>
      </c>
      <c r="G14" s="11" t="s">
        <v>206</v>
      </c>
      <c r="H14" s="11" t="s">
        <v>242</v>
      </c>
      <c r="I14" s="11" t="s">
        <v>207</v>
      </c>
      <c r="J14" s="11" t="s">
        <v>172</v>
      </c>
      <c r="K14" s="11" t="s">
        <v>173</v>
      </c>
      <c r="L14" s="11" t="s">
        <v>46</v>
      </c>
      <c r="M14" s="11" t="s">
        <v>132</v>
      </c>
      <c r="N14" s="11" t="s">
        <v>245</v>
      </c>
      <c r="O14" s="11" t="s">
        <v>78</v>
      </c>
      <c r="P14" s="11" t="s">
        <v>57</v>
      </c>
      <c r="Q14" s="11" t="s">
        <v>58</v>
      </c>
      <c r="R14" s="11" t="s">
        <v>128</v>
      </c>
      <c r="S14" s="11" t="s">
        <v>138</v>
      </c>
      <c r="T14" s="13" t="s">
        <v>245</v>
      </c>
      <c r="U14" s="13">
        <v>45946</v>
      </c>
      <c r="V14" s="13" t="s">
        <v>132</v>
      </c>
      <c r="W14" s="13" t="s">
        <v>236</v>
      </c>
      <c r="X14" s="14">
        <v>140</v>
      </c>
      <c r="Y14" s="14">
        <f t="shared" si="2"/>
        <v>28</v>
      </c>
      <c r="Z14" s="15">
        <f t="shared" si="3"/>
        <v>168</v>
      </c>
    </row>
    <row r="15" spans="1:26" x14ac:dyDescent="0.25">
      <c r="M15" s="1"/>
      <c r="N15" s="1"/>
      <c r="T15" s="1"/>
      <c r="U1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A511-F981-4333-AB9B-405B30E6AB81}">
  <dimension ref="A1:Q32"/>
  <sheetViews>
    <sheetView zoomScale="55" zoomScaleNormal="55" workbookViewId="0">
      <selection sqref="A1:XFD1048576"/>
    </sheetView>
  </sheetViews>
  <sheetFormatPr defaultColWidth="21.42578125" defaultRowHeight="15" x14ac:dyDescent="0.25"/>
  <cols>
    <col min="1" max="1" width="30.85546875" style="22" customWidth="1"/>
    <col min="2" max="2" width="30.42578125" style="22" customWidth="1"/>
    <col min="3" max="3" width="21.7109375" style="22" customWidth="1"/>
    <col min="4" max="4" width="32.28515625" style="22" customWidth="1"/>
    <col min="5" max="5" width="25.140625" style="22" customWidth="1"/>
    <col min="6" max="6" width="30.5703125" style="22" customWidth="1"/>
    <col min="7" max="7" width="15.7109375" style="22" customWidth="1"/>
    <col min="8" max="9" width="21.42578125" style="22"/>
    <col min="10" max="10" width="38.5703125" style="22" customWidth="1"/>
    <col min="11" max="11" width="25.5703125" style="22" customWidth="1"/>
    <col min="12" max="16" width="21.42578125" style="22"/>
    <col min="17" max="17" width="25.140625" style="22" customWidth="1"/>
    <col min="18" max="16384" width="21.42578125" style="22"/>
  </cols>
  <sheetData>
    <row r="1" spans="1:14" ht="32.25" customHeight="1" thickBot="1" x14ac:dyDescent="0.3">
      <c r="A1" s="24" t="s">
        <v>175</v>
      </c>
      <c r="B1" s="25"/>
      <c r="C1" s="26" t="s">
        <v>260</v>
      </c>
    </row>
    <row r="3" spans="1:14" ht="15.75" thickBot="1" x14ac:dyDescent="0.3"/>
    <row r="4" spans="1:14" ht="19.5" thickBot="1" x14ac:dyDescent="0.3">
      <c r="A4" s="29" t="s">
        <v>252</v>
      </c>
      <c r="B4" s="25"/>
      <c r="C4" s="26"/>
      <c r="H4" s="29" t="s">
        <v>255</v>
      </c>
      <c r="I4" s="25"/>
      <c r="J4" s="26"/>
    </row>
    <row r="6" spans="1:14" ht="15.75" thickBot="1" x14ac:dyDescent="0.3"/>
    <row r="7" spans="1:14" ht="38.25" thickBot="1" x14ac:dyDescent="0.3">
      <c r="A7" s="19" t="s">
        <v>254</v>
      </c>
      <c r="B7" s="20" t="s">
        <v>253</v>
      </c>
      <c r="C7" s="20" t="s">
        <v>1</v>
      </c>
      <c r="D7" s="20" t="s">
        <v>177</v>
      </c>
      <c r="E7" s="20" t="s">
        <v>142</v>
      </c>
      <c r="F7" s="21" t="s">
        <v>143</v>
      </c>
      <c r="H7" s="19" t="s">
        <v>256</v>
      </c>
      <c r="I7" s="20" t="s">
        <v>3</v>
      </c>
      <c r="J7" s="20" t="s">
        <v>4</v>
      </c>
      <c r="K7" s="20" t="s">
        <v>199</v>
      </c>
      <c r="L7" s="20" t="s">
        <v>164</v>
      </c>
      <c r="M7" s="20" t="s">
        <v>165</v>
      </c>
      <c r="N7" s="21" t="s">
        <v>257</v>
      </c>
    </row>
    <row r="8" spans="1:14" ht="30" x14ac:dyDescent="0.25">
      <c r="A8" s="4">
        <v>1</v>
      </c>
      <c r="B8" s="5" t="s">
        <v>14</v>
      </c>
      <c r="C8" s="5" t="s">
        <v>179</v>
      </c>
      <c r="D8" s="5" t="s">
        <v>178</v>
      </c>
      <c r="E8" s="5" t="s">
        <v>144</v>
      </c>
      <c r="F8" s="27" t="s">
        <v>145</v>
      </c>
      <c r="H8" s="30">
        <v>1</v>
      </c>
      <c r="I8" s="5" t="s">
        <v>36</v>
      </c>
      <c r="J8" s="5" t="s">
        <v>206</v>
      </c>
      <c r="K8" s="5" t="s">
        <v>207</v>
      </c>
      <c r="L8" s="5" t="s">
        <v>172</v>
      </c>
      <c r="M8" s="5" t="s">
        <v>173</v>
      </c>
      <c r="N8" s="27" t="s">
        <v>43</v>
      </c>
    </row>
    <row r="9" spans="1:14" ht="30" x14ac:dyDescent="0.25">
      <c r="A9" s="4">
        <v>2</v>
      </c>
      <c r="B9" s="5" t="s">
        <v>16</v>
      </c>
      <c r="C9" s="5" t="s">
        <v>189</v>
      </c>
      <c r="D9" s="5" t="s">
        <v>180</v>
      </c>
      <c r="E9" s="5" t="s">
        <v>146</v>
      </c>
      <c r="F9" s="27" t="s">
        <v>147</v>
      </c>
      <c r="H9" s="30">
        <v>2</v>
      </c>
      <c r="I9" s="5" t="s">
        <v>34</v>
      </c>
      <c r="J9" s="5" t="s">
        <v>200</v>
      </c>
      <c r="K9" s="5" t="s">
        <v>198</v>
      </c>
      <c r="L9" s="5" t="s">
        <v>166</v>
      </c>
      <c r="M9" s="5" t="s">
        <v>167</v>
      </c>
      <c r="N9" s="27" t="s">
        <v>44</v>
      </c>
    </row>
    <row r="10" spans="1:14" ht="30" x14ac:dyDescent="0.25">
      <c r="A10" s="4">
        <v>3</v>
      </c>
      <c r="B10" s="5" t="s">
        <v>18</v>
      </c>
      <c r="C10" s="5" t="s">
        <v>190</v>
      </c>
      <c r="D10" s="5" t="s">
        <v>181</v>
      </c>
      <c r="E10" s="5" t="s">
        <v>148</v>
      </c>
      <c r="F10" s="27" t="s">
        <v>149</v>
      </c>
      <c r="H10" s="30">
        <v>3</v>
      </c>
      <c r="I10" s="5" t="s">
        <v>40</v>
      </c>
      <c r="J10" s="5" t="s">
        <v>201</v>
      </c>
      <c r="K10" s="5" t="s">
        <v>202</v>
      </c>
      <c r="L10" s="5" t="s">
        <v>168</v>
      </c>
      <c r="M10" s="5" t="s">
        <v>169</v>
      </c>
      <c r="N10" s="27" t="s">
        <v>42</v>
      </c>
    </row>
    <row r="11" spans="1:14" ht="30.75" thickBot="1" x14ac:dyDescent="0.3">
      <c r="A11" s="4">
        <v>4</v>
      </c>
      <c r="B11" s="5" t="s">
        <v>20</v>
      </c>
      <c r="C11" s="5" t="s">
        <v>191</v>
      </c>
      <c r="D11" s="5" t="s">
        <v>182</v>
      </c>
      <c r="E11" s="5" t="s">
        <v>150</v>
      </c>
      <c r="F11" s="27" t="s">
        <v>151</v>
      </c>
      <c r="H11" s="31">
        <v>4</v>
      </c>
      <c r="I11" s="11" t="s">
        <v>38</v>
      </c>
      <c r="J11" s="11" t="s">
        <v>204</v>
      </c>
      <c r="K11" s="11" t="s">
        <v>205</v>
      </c>
      <c r="L11" s="11" t="s">
        <v>170</v>
      </c>
      <c r="M11" s="11" t="s">
        <v>171</v>
      </c>
      <c r="N11" s="28" t="s">
        <v>45</v>
      </c>
    </row>
    <row r="12" spans="1:14" x14ac:dyDescent="0.25">
      <c r="A12" s="4">
        <v>5</v>
      </c>
      <c r="B12" s="5" t="s">
        <v>22</v>
      </c>
      <c r="C12" s="5" t="s">
        <v>192</v>
      </c>
      <c r="D12" s="5" t="s">
        <v>183</v>
      </c>
      <c r="E12" s="5" t="s">
        <v>152</v>
      </c>
      <c r="F12" s="27" t="s">
        <v>153</v>
      </c>
      <c r="I12" s="5"/>
      <c r="J12" s="5"/>
      <c r="K12" s="5"/>
      <c r="L12" s="5"/>
      <c r="M12" s="5"/>
    </row>
    <row r="13" spans="1:14" ht="30" x14ac:dyDescent="0.25">
      <c r="A13" s="4">
        <v>6</v>
      </c>
      <c r="B13" s="5" t="s">
        <v>24</v>
      </c>
      <c r="C13" s="5" t="s">
        <v>193</v>
      </c>
      <c r="D13" s="5" t="s">
        <v>184</v>
      </c>
      <c r="E13" s="5" t="s">
        <v>154</v>
      </c>
      <c r="F13" s="27" t="s">
        <v>155</v>
      </c>
      <c r="I13" s="5"/>
      <c r="J13" s="5"/>
      <c r="K13" s="5"/>
      <c r="L13" s="5"/>
      <c r="M13" s="5"/>
    </row>
    <row r="14" spans="1:14" ht="30" x14ac:dyDescent="0.25">
      <c r="A14" s="4">
        <v>7</v>
      </c>
      <c r="B14" s="5" t="s">
        <v>26</v>
      </c>
      <c r="C14" s="5" t="s">
        <v>194</v>
      </c>
      <c r="D14" s="5" t="s">
        <v>185</v>
      </c>
      <c r="E14" s="5" t="s">
        <v>156</v>
      </c>
      <c r="F14" s="27" t="s">
        <v>157</v>
      </c>
      <c r="I14" s="5"/>
      <c r="J14" s="5"/>
      <c r="K14" s="5"/>
      <c r="L14" s="5"/>
      <c r="M14" s="5"/>
    </row>
    <row r="15" spans="1:14" ht="30" x14ac:dyDescent="0.25">
      <c r="A15" s="4">
        <v>8</v>
      </c>
      <c r="B15" s="5" t="s">
        <v>28</v>
      </c>
      <c r="C15" s="5" t="s">
        <v>195</v>
      </c>
      <c r="D15" s="5" t="s">
        <v>186</v>
      </c>
      <c r="E15" s="5" t="s">
        <v>158</v>
      </c>
      <c r="F15" s="27" t="s">
        <v>159</v>
      </c>
      <c r="I15" s="5"/>
      <c r="J15" s="5"/>
      <c r="K15" s="5"/>
      <c r="L15" s="5"/>
      <c r="M15" s="5"/>
      <c r="N15" s="5"/>
    </row>
    <row r="16" spans="1:14" ht="30" x14ac:dyDescent="0.25">
      <c r="A16" s="4">
        <v>9</v>
      </c>
      <c r="B16" s="5" t="s">
        <v>30</v>
      </c>
      <c r="C16" s="5" t="s">
        <v>196</v>
      </c>
      <c r="D16" s="5" t="s">
        <v>187</v>
      </c>
      <c r="E16" s="5" t="s">
        <v>160</v>
      </c>
      <c r="F16" s="27" t="s">
        <v>161</v>
      </c>
      <c r="I16" s="5"/>
      <c r="J16" s="5"/>
      <c r="K16" s="5"/>
      <c r="L16" s="5"/>
      <c r="M16" s="5"/>
      <c r="N16" s="5"/>
    </row>
    <row r="17" spans="1:17" ht="30.75" thickBot="1" x14ac:dyDescent="0.3">
      <c r="A17" s="10">
        <v>10</v>
      </c>
      <c r="B17" s="11" t="s">
        <v>32</v>
      </c>
      <c r="C17" s="11" t="s">
        <v>197</v>
      </c>
      <c r="D17" s="11" t="s">
        <v>188</v>
      </c>
      <c r="E17" s="11" t="s">
        <v>162</v>
      </c>
      <c r="F17" s="28" t="s">
        <v>163</v>
      </c>
      <c r="I17" s="5"/>
      <c r="J17" s="5"/>
      <c r="K17" s="5"/>
      <c r="L17" s="5"/>
      <c r="M17" s="5"/>
      <c r="N17" s="5"/>
    </row>
    <row r="18" spans="1:17" x14ac:dyDescent="0.25">
      <c r="I18" s="6"/>
      <c r="J18" s="6"/>
      <c r="K18" s="6"/>
      <c r="L18" s="6"/>
      <c r="M18" s="6"/>
      <c r="N18" s="6"/>
    </row>
    <row r="19" spans="1:17" ht="15.75" thickBot="1" x14ac:dyDescent="0.3"/>
    <row r="20" spans="1:17" ht="19.5" thickBot="1" x14ac:dyDescent="0.3">
      <c r="A20" s="29" t="s">
        <v>261</v>
      </c>
      <c r="B20" s="25"/>
      <c r="C20" s="26"/>
    </row>
    <row r="21" spans="1:17" ht="15.75" thickBot="1" x14ac:dyDescent="0.3"/>
    <row r="22" spans="1:17" ht="38.25" thickBot="1" x14ac:dyDescent="0.3">
      <c r="A22" s="19" t="s">
        <v>2</v>
      </c>
      <c r="B22" s="20" t="s">
        <v>256</v>
      </c>
      <c r="C22" s="20" t="s">
        <v>243</v>
      </c>
      <c r="D22" s="20" t="s">
        <v>250</v>
      </c>
      <c r="E22" s="20" t="s">
        <v>258</v>
      </c>
      <c r="F22" s="20" t="s">
        <v>11</v>
      </c>
      <c r="G22" s="20" t="s">
        <v>247</v>
      </c>
      <c r="H22" s="20" t="s">
        <v>248</v>
      </c>
      <c r="I22" s="20" t="s">
        <v>13</v>
      </c>
      <c r="J22" s="20" t="s">
        <v>6</v>
      </c>
      <c r="K22" s="20" t="s">
        <v>244</v>
      </c>
      <c r="L22" s="20" t="s">
        <v>133</v>
      </c>
      <c r="M22" s="20" t="s">
        <v>134</v>
      </c>
      <c r="N22" s="20" t="s">
        <v>234</v>
      </c>
      <c r="O22" s="20" t="s">
        <v>7</v>
      </c>
      <c r="P22" s="20" t="s">
        <v>8</v>
      </c>
      <c r="Q22" s="21" t="s">
        <v>9</v>
      </c>
    </row>
    <row r="23" spans="1:17" ht="30" x14ac:dyDescent="0.25">
      <c r="A23" s="4">
        <v>1</v>
      </c>
      <c r="B23" s="5">
        <v>2</v>
      </c>
      <c r="C23" s="5" t="s">
        <v>238</v>
      </c>
      <c r="D23" s="5" t="s">
        <v>131</v>
      </c>
      <c r="E23" s="5">
        <v>1</v>
      </c>
      <c r="F23" s="5" t="s">
        <v>69</v>
      </c>
      <c r="G23" s="5" t="s">
        <v>49</v>
      </c>
      <c r="H23" s="6" t="s">
        <v>50</v>
      </c>
      <c r="I23" s="5" t="s">
        <v>126</v>
      </c>
      <c r="J23" s="5" t="s">
        <v>135</v>
      </c>
      <c r="K23" s="5" t="s">
        <v>246</v>
      </c>
      <c r="L23" s="7">
        <v>45936</v>
      </c>
      <c r="M23" s="7" t="s">
        <v>132</v>
      </c>
      <c r="N23" s="7" t="s">
        <v>235</v>
      </c>
      <c r="O23" s="8">
        <v>180</v>
      </c>
      <c r="P23" s="8">
        <f t="shared" ref="P23:P26" si="0">O23*0.2</f>
        <v>36</v>
      </c>
      <c r="Q23" s="9">
        <f t="shared" ref="Q23:Q26" si="1">O23+P23</f>
        <v>216</v>
      </c>
    </row>
    <row r="24" spans="1:17" ht="30" x14ac:dyDescent="0.25">
      <c r="A24" s="4">
        <v>2</v>
      </c>
      <c r="B24" s="5">
        <v>3</v>
      </c>
      <c r="C24" s="5" t="s">
        <v>240</v>
      </c>
      <c r="D24" s="5" t="s">
        <v>132</v>
      </c>
      <c r="E24" s="5" t="s">
        <v>245</v>
      </c>
      <c r="F24" s="5" t="s">
        <v>70</v>
      </c>
      <c r="G24" s="5" t="s">
        <v>49</v>
      </c>
      <c r="H24" s="6" t="s">
        <v>249</v>
      </c>
      <c r="I24" s="5" t="s">
        <v>127</v>
      </c>
      <c r="J24" s="5" t="s">
        <v>141</v>
      </c>
      <c r="K24" s="5" t="s">
        <v>245</v>
      </c>
      <c r="L24" s="7">
        <v>45931</v>
      </c>
      <c r="M24" s="7" t="s">
        <v>131</v>
      </c>
      <c r="N24" s="7" t="s">
        <v>236</v>
      </c>
      <c r="O24" s="8">
        <v>80</v>
      </c>
      <c r="P24" s="8">
        <f t="shared" si="0"/>
        <v>16</v>
      </c>
      <c r="Q24" s="9">
        <f t="shared" si="1"/>
        <v>96</v>
      </c>
    </row>
    <row r="25" spans="1:17" ht="30" x14ac:dyDescent="0.25">
      <c r="A25" s="4">
        <v>3</v>
      </c>
      <c r="B25" s="5">
        <v>3</v>
      </c>
      <c r="C25" s="5" t="s">
        <v>240</v>
      </c>
      <c r="D25" s="5" t="s">
        <v>132</v>
      </c>
      <c r="E25" s="5" t="s">
        <v>245</v>
      </c>
      <c r="F25" s="5" t="s">
        <v>71</v>
      </c>
      <c r="G25" s="5" t="s">
        <v>47</v>
      </c>
      <c r="H25" s="6" t="s">
        <v>48</v>
      </c>
      <c r="I25" s="5" t="s">
        <v>127</v>
      </c>
      <c r="J25" s="5" t="s">
        <v>141</v>
      </c>
      <c r="K25" s="5" t="s">
        <v>245</v>
      </c>
      <c r="L25" s="7">
        <v>45945</v>
      </c>
      <c r="M25" s="7" t="s">
        <v>132</v>
      </c>
      <c r="N25" s="7" t="s">
        <v>235</v>
      </c>
      <c r="O25" s="8">
        <v>80</v>
      </c>
      <c r="P25" s="8">
        <f t="shared" si="0"/>
        <v>16</v>
      </c>
      <c r="Q25" s="9">
        <f t="shared" si="1"/>
        <v>96</v>
      </c>
    </row>
    <row r="26" spans="1:17" ht="30" x14ac:dyDescent="0.25">
      <c r="A26" s="4">
        <v>4</v>
      </c>
      <c r="B26" s="5">
        <v>2</v>
      </c>
      <c r="C26" s="5" t="s">
        <v>238</v>
      </c>
      <c r="D26" s="5" t="s">
        <v>132</v>
      </c>
      <c r="E26" s="5" t="s">
        <v>245</v>
      </c>
      <c r="F26" s="5" t="s">
        <v>72</v>
      </c>
      <c r="G26" s="5" t="s">
        <v>59</v>
      </c>
      <c r="H26" s="6" t="s">
        <v>60</v>
      </c>
      <c r="I26" s="5" t="s">
        <v>126</v>
      </c>
      <c r="J26" s="5" t="s">
        <v>135</v>
      </c>
      <c r="K26" s="5" t="s">
        <v>246</v>
      </c>
      <c r="L26" s="7">
        <v>45940</v>
      </c>
      <c r="M26" s="7" t="s">
        <v>132</v>
      </c>
      <c r="N26" s="7" t="s">
        <v>235</v>
      </c>
      <c r="O26" s="8">
        <v>180</v>
      </c>
      <c r="P26" s="8">
        <f t="shared" si="0"/>
        <v>36</v>
      </c>
      <c r="Q26" s="9">
        <f t="shared" si="1"/>
        <v>216</v>
      </c>
    </row>
    <row r="27" spans="1:17" x14ac:dyDescent="0.25">
      <c r="A27" s="4">
        <v>5</v>
      </c>
      <c r="B27" s="5">
        <v>2</v>
      </c>
      <c r="C27" s="5" t="s">
        <v>239</v>
      </c>
      <c r="D27" s="5" t="s">
        <v>132</v>
      </c>
      <c r="E27" s="5" t="s">
        <v>245</v>
      </c>
      <c r="F27" s="5" t="s">
        <v>73</v>
      </c>
      <c r="G27" s="5" t="s">
        <v>47</v>
      </c>
      <c r="H27" s="6" t="s">
        <v>48</v>
      </c>
      <c r="I27" s="5" t="s">
        <v>128</v>
      </c>
      <c r="J27" s="5" t="s">
        <v>138</v>
      </c>
      <c r="K27" s="5" t="s">
        <v>245</v>
      </c>
      <c r="L27" s="7">
        <v>45933</v>
      </c>
      <c r="M27" s="7" t="s">
        <v>132</v>
      </c>
      <c r="N27" s="7" t="s">
        <v>236</v>
      </c>
      <c r="O27" s="8">
        <v>120</v>
      </c>
      <c r="P27" s="8">
        <f>O27*0.2</f>
        <v>24</v>
      </c>
      <c r="Q27" s="9">
        <f>O27+P27</f>
        <v>144</v>
      </c>
    </row>
    <row r="28" spans="1:17" ht="45" x14ac:dyDescent="0.25">
      <c r="A28" s="4">
        <v>6</v>
      </c>
      <c r="B28" s="5">
        <v>4</v>
      </c>
      <c r="C28" s="5" t="s">
        <v>241</v>
      </c>
      <c r="D28" s="5" t="s">
        <v>132</v>
      </c>
      <c r="E28" s="5" t="s">
        <v>245</v>
      </c>
      <c r="F28" s="5" t="s">
        <v>74</v>
      </c>
      <c r="G28" s="5" t="s">
        <v>55</v>
      </c>
      <c r="H28" s="6" t="s">
        <v>56</v>
      </c>
      <c r="I28" s="5" t="s">
        <v>129</v>
      </c>
      <c r="J28" s="5" t="s">
        <v>137</v>
      </c>
      <c r="K28" s="5" t="s">
        <v>245</v>
      </c>
      <c r="L28" s="7">
        <v>45948</v>
      </c>
      <c r="M28" s="7" t="s">
        <v>132</v>
      </c>
      <c r="N28" s="7" t="s">
        <v>235</v>
      </c>
      <c r="O28" s="8">
        <v>450</v>
      </c>
      <c r="P28" s="8">
        <f t="shared" ref="P28:P32" si="2">O28*0.2</f>
        <v>90</v>
      </c>
      <c r="Q28" s="9">
        <f t="shared" ref="Q28:Q32" si="3">O28+P28</f>
        <v>540</v>
      </c>
    </row>
    <row r="29" spans="1:17" x14ac:dyDescent="0.25">
      <c r="A29" s="4">
        <v>7</v>
      </c>
      <c r="B29" s="5">
        <v>2</v>
      </c>
      <c r="C29" s="5" t="s">
        <v>238</v>
      </c>
      <c r="D29" s="5" t="s">
        <v>131</v>
      </c>
      <c r="E29" s="5">
        <v>1</v>
      </c>
      <c r="F29" s="5" t="s">
        <v>75</v>
      </c>
      <c r="G29" s="5" t="s">
        <v>57</v>
      </c>
      <c r="H29" s="6" t="s">
        <v>58</v>
      </c>
      <c r="I29" s="5" t="s">
        <v>128</v>
      </c>
      <c r="J29" s="5" t="s">
        <v>139</v>
      </c>
      <c r="K29" s="5" t="s">
        <v>245</v>
      </c>
      <c r="L29" s="7">
        <v>45939</v>
      </c>
      <c r="M29" s="7" t="s">
        <v>132</v>
      </c>
      <c r="N29" s="7" t="s">
        <v>237</v>
      </c>
      <c r="O29" s="8">
        <v>120</v>
      </c>
      <c r="P29" s="8">
        <f t="shared" si="2"/>
        <v>24</v>
      </c>
      <c r="Q29" s="9">
        <f t="shared" si="3"/>
        <v>144</v>
      </c>
    </row>
    <row r="30" spans="1:17" ht="30" x14ac:dyDescent="0.25">
      <c r="A30" s="4">
        <v>8</v>
      </c>
      <c r="B30" s="5">
        <v>4</v>
      </c>
      <c r="C30" s="5" t="s">
        <v>241</v>
      </c>
      <c r="D30" s="5" t="s">
        <v>132</v>
      </c>
      <c r="E30" s="5" t="s">
        <v>245</v>
      </c>
      <c r="F30" s="5" t="s">
        <v>76</v>
      </c>
      <c r="G30" s="5" t="s">
        <v>53</v>
      </c>
      <c r="H30" s="6" t="s">
        <v>54</v>
      </c>
      <c r="I30" s="5" t="s">
        <v>126</v>
      </c>
      <c r="J30" s="5" t="s">
        <v>136</v>
      </c>
      <c r="K30" s="5" t="s">
        <v>246</v>
      </c>
      <c r="L30" s="7">
        <v>45943</v>
      </c>
      <c r="M30" s="7" t="s">
        <v>132</v>
      </c>
      <c r="N30" s="7" t="s">
        <v>237</v>
      </c>
      <c r="O30" s="8">
        <v>175</v>
      </c>
      <c r="P30" s="8">
        <f t="shared" si="2"/>
        <v>35</v>
      </c>
      <c r="Q30" s="9">
        <f t="shared" si="3"/>
        <v>210</v>
      </c>
    </row>
    <row r="31" spans="1:17" x14ac:dyDescent="0.25">
      <c r="A31" s="4">
        <v>9</v>
      </c>
      <c r="B31" s="5">
        <v>2</v>
      </c>
      <c r="C31" s="5" t="s">
        <v>239</v>
      </c>
      <c r="D31" s="5" t="s">
        <v>132</v>
      </c>
      <c r="E31" s="5" t="s">
        <v>245</v>
      </c>
      <c r="F31" s="5" t="s">
        <v>77</v>
      </c>
      <c r="G31" s="5" t="s">
        <v>51</v>
      </c>
      <c r="H31" s="6" t="s">
        <v>52</v>
      </c>
      <c r="I31" s="5" t="s">
        <v>129</v>
      </c>
      <c r="J31" s="5" t="s">
        <v>140</v>
      </c>
      <c r="K31" s="5" t="s">
        <v>245</v>
      </c>
      <c r="L31" s="7">
        <v>45928</v>
      </c>
      <c r="M31" s="7" t="s">
        <v>131</v>
      </c>
      <c r="N31" s="7" t="s">
        <v>235</v>
      </c>
      <c r="O31" s="8">
        <v>85</v>
      </c>
      <c r="P31" s="8">
        <f t="shared" si="2"/>
        <v>17</v>
      </c>
      <c r="Q31" s="9">
        <f t="shared" si="3"/>
        <v>102</v>
      </c>
    </row>
    <row r="32" spans="1:17" ht="15.75" thickBot="1" x14ac:dyDescent="0.3">
      <c r="A32" s="10">
        <v>10</v>
      </c>
      <c r="B32" s="11">
        <v>1</v>
      </c>
      <c r="C32" s="11" t="s">
        <v>242</v>
      </c>
      <c r="D32" s="11" t="s">
        <v>132</v>
      </c>
      <c r="E32" s="11" t="s">
        <v>245</v>
      </c>
      <c r="F32" s="11" t="s">
        <v>78</v>
      </c>
      <c r="G32" s="11" t="s">
        <v>57</v>
      </c>
      <c r="H32" s="11" t="s">
        <v>58</v>
      </c>
      <c r="I32" s="11" t="s">
        <v>128</v>
      </c>
      <c r="J32" s="11" t="s">
        <v>138</v>
      </c>
      <c r="K32" s="13" t="s">
        <v>245</v>
      </c>
      <c r="L32" s="13">
        <v>45946</v>
      </c>
      <c r="M32" s="13" t="s">
        <v>132</v>
      </c>
      <c r="N32" s="13" t="s">
        <v>236</v>
      </c>
      <c r="O32" s="14">
        <v>140</v>
      </c>
      <c r="P32" s="14">
        <f t="shared" si="2"/>
        <v>28</v>
      </c>
      <c r="Q32" s="15">
        <f t="shared" si="3"/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0167-76C4-438A-A0F2-929B51DE7553}">
  <dimension ref="A1:P101"/>
  <sheetViews>
    <sheetView tabSelected="1" topLeftCell="D1" zoomScale="40" zoomScaleNormal="40" workbookViewId="0">
      <selection activeCell="G18" sqref="G18"/>
    </sheetView>
  </sheetViews>
  <sheetFormatPr defaultColWidth="21.42578125" defaultRowHeight="15" x14ac:dyDescent="0.25"/>
  <cols>
    <col min="1" max="1" width="30.85546875" style="23" customWidth="1"/>
    <col min="2" max="2" width="30.42578125" style="23" customWidth="1"/>
    <col min="3" max="3" width="21.7109375" style="23" customWidth="1"/>
    <col min="4" max="4" width="32.28515625" style="23" customWidth="1"/>
    <col min="5" max="5" width="25.140625" style="23" customWidth="1"/>
    <col min="6" max="6" width="30.5703125" style="23" customWidth="1"/>
    <col min="7" max="7" width="26.5703125" style="23" customWidth="1"/>
    <col min="8" max="9" width="21.42578125" style="23"/>
    <col min="10" max="10" width="38.5703125" style="23" customWidth="1"/>
    <col min="11" max="11" width="28.7109375" style="23" customWidth="1"/>
    <col min="12" max="12" width="57.5703125" style="23" customWidth="1"/>
    <col min="13" max="13" width="35.85546875" style="23" customWidth="1"/>
    <col min="14" max="15" width="21.42578125" style="23"/>
    <col min="16" max="16" width="33.42578125" style="23" customWidth="1"/>
    <col min="17" max="17" width="40" style="23" customWidth="1"/>
    <col min="18" max="16384" width="21.42578125" style="23"/>
  </cols>
  <sheetData>
    <row r="1" spans="1:15" ht="24" customHeight="1" thickBot="1" x14ac:dyDescent="0.3">
      <c r="A1" s="24" t="s">
        <v>175</v>
      </c>
      <c r="B1" s="25"/>
      <c r="C1" s="26" t="s">
        <v>321</v>
      </c>
    </row>
    <row r="3" spans="1:15" ht="15.75" thickBot="1" x14ac:dyDescent="0.3"/>
    <row r="4" spans="1:15" ht="19.5" thickBot="1" x14ac:dyDescent="0.3">
      <c r="A4" s="29" t="s">
        <v>262</v>
      </c>
      <c r="B4" s="25"/>
      <c r="C4" s="26"/>
      <c r="I4" s="29" t="s">
        <v>255</v>
      </c>
      <c r="J4" s="25"/>
      <c r="K4" s="26"/>
    </row>
    <row r="6" spans="1:15" ht="15.75" thickBot="1" x14ac:dyDescent="0.3"/>
    <row r="7" spans="1:15" ht="38.25" thickBot="1" x14ac:dyDescent="0.3">
      <c r="A7" s="19" t="s">
        <v>254</v>
      </c>
      <c r="B7" s="20" t="s">
        <v>2</v>
      </c>
      <c r="C7" s="20" t="s">
        <v>11</v>
      </c>
      <c r="D7" s="20" t="s">
        <v>247</v>
      </c>
      <c r="E7" s="20" t="s">
        <v>248</v>
      </c>
      <c r="F7" s="21" t="s">
        <v>263</v>
      </c>
      <c r="I7" s="19" t="s">
        <v>256</v>
      </c>
      <c r="J7" s="20" t="s">
        <v>3</v>
      </c>
      <c r="K7" s="20" t="s">
        <v>4</v>
      </c>
      <c r="L7" s="20" t="s">
        <v>199</v>
      </c>
      <c r="M7" s="20" t="s">
        <v>164</v>
      </c>
      <c r="N7" s="20" t="s">
        <v>165</v>
      </c>
      <c r="O7" s="21" t="s">
        <v>257</v>
      </c>
    </row>
    <row r="8" spans="1:15" ht="30" x14ac:dyDescent="0.25">
      <c r="A8" s="34" t="s">
        <v>291</v>
      </c>
      <c r="B8" s="35" t="s">
        <v>290</v>
      </c>
      <c r="C8" s="35" t="s">
        <v>69</v>
      </c>
      <c r="D8" s="35" t="s">
        <v>49</v>
      </c>
      <c r="E8" s="54" t="s">
        <v>50</v>
      </c>
      <c r="F8" s="36" t="s">
        <v>246</v>
      </c>
      <c r="I8" s="57" t="s">
        <v>310</v>
      </c>
      <c r="J8" s="35" t="s">
        <v>36</v>
      </c>
      <c r="K8" s="35" t="s">
        <v>206</v>
      </c>
      <c r="L8" s="35" t="s">
        <v>207</v>
      </c>
      <c r="M8" s="35" t="s">
        <v>172</v>
      </c>
      <c r="N8" s="35" t="s">
        <v>173</v>
      </c>
      <c r="O8" s="36" t="s">
        <v>43</v>
      </c>
    </row>
    <row r="9" spans="1:15" x14ac:dyDescent="0.25">
      <c r="A9" s="37" t="s">
        <v>292</v>
      </c>
      <c r="B9" s="38" t="s">
        <v>301</v>
      </c>
      <c r="C9" s="38" t="s">
        <v>70</v>
      </c>
      <c r="D9" s="38" t="s">
        <v>49</v>
      </c>
      <c r="E9" s="45" t="s">
        <v>249</v>
      </c>
      <c r="F9" s="39" t="s">
        <v>245</v>
      </c>
      <c r="I9" s="43" t="s">
        <v>311</v>
      </c>
      <c r="J9" s="38" t="s">
        <v>34</v>
      </c>
      <c r="K9" s="38" t="s">
        <v>200</v>
      </c>
      <c r="L9" s="38" t="s">
        <v>198</v>
      </c>
      <c r="M9" s="38" t="s">
        <v>166</v>
      </c>
      <c r="N9" s="38" t="s">
        <v>167</v>
      </c>
      <c r="O9" s="39" t="s">
        <v>44</v>
      </c>
    </row>
    <row r="10" spans="1:15" ht="30" x14ac:dyDescent="0.25">
      <c r="A10" s="37" t="s">
        <v>293</v>
      </c>
      <c r="B10" s="38" t="s">
        <v>302</v>
      </c>
      <c r="C10" s="38" t="s">
        <v>71</v>
      </c>
      <c r="D10" s="38" t="s">
        <v>47</v>
      </c>
      <c r="E10" s="45" t="s">
        <v>48</v>
      </c>
      <c r="F10" s="39" t="s">
        <v>245</v>
      </c>
      <c r="I10" s="43" t="s">
        <v>312</v>
      </c>
      <c r="J10" s="38" t="s">
        <v>40</v>
      </c>
      <c r="K10" s="38" t="s">
        <v>201</v>
      </c>
      <c r="L10" s="38" t="s">
        <v>202</v>
      </c>
      <c r="M10" s="38" t="s">
        <v>168</v>
      </c>
      <c r="N10" s="38" t="s">
        <v>169</v>
      </c>
      <c r="O10" s="39" t="s">
        <v>42</v>
      </c>
    </row>
    <row r="11" spans="1:15" ht="15.75" thickBot="1" x14ac:dyDescent="0.3">
      <c r="A11" s="37" t="s">
        <v>294</v>
      </c>
      <c r="B11" s="38" t="s">
        <v>303</v>
      </c>
      <c r="C11" s="38" t="s">
        <v>72</v>
      </c>
      <c r="D11" s="38" t="s">
        <v>59</v>
      </c>
      <c r="E11" s="45" t="s">
        <v>60</v>
      </c>
      <c r="F11" s="39" t="s">
        <v>246</v>
      </c>
      <c r="I11" s="44" t="s">
        <v>313</v>
      </c>
      <c r="J11" s="41" t="s">
        <v>38</v>
      </c>
      <c r="K11" s="41" t="s">
        <v>204</v>
      </c>
      <c r="L11" s="41" t="s">
        <v>205</v>
      </c>
      <c r="M11" s="41" t="s">
        <v>170</v>
      </c>
      <c r="N11" s="41" t="s">
        <v>171</v>
      </c>
      <c r="O11" s="42" t="s">
        <v>45</v>
      </c>
    </row>
    <row r="12" spans="1:15" x14ac:dyDescent="0.25">
      <c r="A12" s="37" t="s">
        <v>295</v>
      </c>
      <c r="B12" s="38" t="s">
        <v>304</v>
      </c>
      <c r="C12" s="38" t="s">
        <v>73</v>
      </c>
      <c r="D12" s="38" t="s">
        <v>47</v>
      </c>
      <c r="E12" s="45" t="s">
        <v>48</v>
      </c>
      <c r="F12" s="39" t="s">
        <v>245</v>
      </c>
    </row>
    <row r="13" spans="1:15" x14ac:dyDescent="0.25">
      <c r="A13" s="37" t="s">
        <v>296</v>
      </c>
      <c r="B13" s="38" t="s">
        <v>305</v>
      </c>
      <c r="C13" s="38" t="s">
        <v>74</v>
      </c>
      <c r="D13" s="38" t="s">
        <v>55</v>
      </c>
      <c r="E13" s="45" t="s">
        <v>56</v>
      </c>
      <c r="F13" s="39" t="s">
        <v>245</v>
      </c>
    </row>
    <row r="14" spans="1:15" x14ac:dyDescent="0.25">
      <c r="A14" s="37" t="s">
        <v>297</v>
      </c>
      <c r="B14" s="38" t="s">
        <v>306</v>
      </c>
      <c r="C14" s="38" t="s">
        <v>75</v>
      </c>
      <c r="D14" s="38" t="s">
        <v>57</v>
      </c>
      <c r="E14" s="45" t="s">
        <v>58</v>
      </c>
      <c r="F14" s="39" t="s">
        <v>245</v>
      </c>
    </row>
    <row r="15" spans="1:15" x14ac:dyDescent="0.25">
      <c r="A15" s="37" t="s">
        <v>298</v>
      </c>
      <c r="B15" s="38" t="s">
        <v>307</v>
      </c>
      <c r="C15" s="38" t="s">
        <v>76</v>
      </c>
      <c r="D15" s="38" t="s">
        <v>53</v>
      </c>
      <c r="E15" s="45" t="s">
        <v>54</v>
      </c>
      <c r="F15" s="39" t="s">
        <v>246</v>
      </c>
    </row>
    <row r="16" spans="1:15" x14ac:dyDescent="0.25">
      <c r="A16" s="37" t="s">
        <v>299</v>
      </c>
      <c r="B16" s="38" t="s">
        <v>308</v>
      </c>
      <c r="C16" s="38" t="s">
        <v>77</v>
      </c>
      <c r="D16" s="38" t="s">
        <v>51</v>
      </c>
      <c r="E16" s="45" t="s">
        <v>52</v>
      </c>
      <c r="F16" s="39" t="s">
        <v>245</v>
      </c>
    </row>
    <row r="17" spans="1:15" ht="15.75" thickBot="1" x14ac:dyDescent="0.3">
      <c r="A17" s="40" t="s">
        <v>300</v>
      </c>
      <c r="B17" s="41" t="s">
        <v>309</v>
      </c>
      <c r="C17" s="41" t="s">
        <v>78</v>
      </c>
      <c r="D17" s="41" t="s">
        <v>57</v>
      </c>
      <c r="E17" s="41" t="s">
        <v>58</v>
      </c>
      <c r="F17" s="55" t="s">
        <v>245</v>
      </c>
    </row>
    <row r="19" spans="1:15" ht="15.75" thickBot="1" x14ac:dyDescent="0.3"/>
    <row r="20" spans="1:15" ht="19.5" thickBot="1" x14ac:dyDescent="0.3">
      <c r="A20" s="29" t="s">
        <v>279</v>
      </c>
      <c r="B20" s="25"/>
      <c r="C20" s="26"/>
    </row>
    <row r="22" spans="1:15" ht="15.75" thickBot="1" x14ac:dyDescent="0.3"/>
    <row r="23" spans="1:15" ht="38.25" thickBot="1" x14ac:dyDescent="0.3">
      <c r="A23" s="19" t="s">
        <v>254</v>
      </c>
      <c r="B23" s="20" t="s">
        <v>2</v>
      </c>
      <c r="C23" s="20" t="s">
        <v>256</v>
      </c>
      <c r="D23" s="20" t="s">
        <v>265</v>
      </c>
      <c r="E23" s="20" t="s">
        <v>264</v>
      </c>
      <c r="F23" s="20" t="s">
        <v>250</v>
      </c>
      <c r="G23" s="20" t="s">
        <v>258</v>
      </c>
      <c r="H23" s="20" t="s">
        <v>13</v>
      </c>
      <c r="I23" s="20" t="s">
        <v>133</v>
      </c>
      <c r="J23" s="20" t="s">
        <v>134</v>
      </c>
      <c r="K23" s="20" t="s">
        <v>234</v>
      </c>
      <c r="L23" s="20" t="s">
        <v>407</v>
      </c>
      <c r="M23" s="20" t="s">
        <v>7</v>
      </c>
      <c r="N23" s="20" t="s">
        <v>8</v>
      </c>
      <c r="O23" s="21" t="s">
        <v>9</v>
      </c>
    </row>
    <row r="24" spans="1:15" ht="30" x14ac:dyDescent="0.25">
      <c r="A24" s="43" t="s">
        <v>280</v>
      </c>
      <c r="B24" s="38" t="s">
        <v>290</v>
      </c>
      <c r="C24" s="38" t="s">
        <v>311</v>
      </c>
      <c r="D24" s="38" t="s">
        <v>271</v>
      </c>
      <c r="E24" s="38" t="s">
        <v>291</v>
      </c>
      <c r="F24" s="38" t="s">
        <v>131</v>
      </c>
      <c r="G24" s="38" t="s">
        <v>392</v>
      </c>
      <c r="H24" s="38" t="s">
        <v>381</v>
      </c>
      <c r="I24" s="46">
        <v>45936</v>
      </c>
      <c r="J24" s="46" t="s">
        <v>132</v>
      </c>
      <c r="K24" s="46" t="s">
        <v>235</v>
      </c>
      <c r="L24" s="47" t="s">
        <v>131</v>
      </c>
      <c r="M24" s="47">
        <v>180</v>
      </c>
      <c r="N24" s="47">
        <f t="shared" ref="N24:O24" si="0">M24*0.2</f>
        <v>36</v>
      </c>
      <c r="O24" s="48">
        <f t="shared" ref="O24:O27" si="1">M24+N24</f>
        <v>216</v>
      </c>
    </row>
    <row r="25" spans="1:15" x14ac:dyDescent="0.25">
      <c r="A25" s="43" t="s">
        <v>281</v>
      </c>
      <c r="B25" s="38" t="s">
        <v>301</v>
      </c>
      <c r="C25" s="38" t="s">
        <v>312</v>
      </c>
      <c r="D25" s="38" t="s">
        <v>272</v>
      </c>
      <c r="E25" s="38" t="s">
        <v>292</v>
      </c>
      <c r="F25" s="38" t="s">
        <v>132</v>
      </c>
      <c r="G25" s="38" t="s">
        <v>393</v>
      </c>
      <c r="H25" s="38" t="s">
        <v>382</v>
      </c>
      <c r="I25" s="46">
        <v>45931</v>
      </c>
      <c r="J25" s="46" t="s">
        <v>131</v>
      </c>
      <c r="K25" s="46" t="s">
        <v>236</v>
      </c>
      <c r="L25" s="47" t="s">
        <v>131</v>
      </c>
      <c r="M25" s="47">
        <v>80</v>
      </c>
      <c r="N25" s="47">
        <f t="shared" ref="N25:O25" si="2">M25*0.2</f>
        <v>16</v>
      </c>
      <c r="O25" s="48">
        <f t="shared" si="1"/>
        <v>96</v>
      </c>
    </row>
    <row r="26" spans="1:15" x14ac:dyDescent="0.25">
      <c r="A26" s="43" t="s">
        <v>282</v>
      </c>
      <c r="B26" s="38" t="s">
        <v>302</v>
      </c>
      <c r="C26" s="38" t="s">
        <v>312</v>
      </c>
      <c r="D26" s="38" t="s">
        <v>272</v>
      </c>
      <c r="E26" s="38" t="s">
        <v>293</v>
      </c>
      <c r="F26" s="38" t="s">
        <v>132</v>
      </c>
      <c r="G26" s="38" t="s">
        <v>393</v>
      </c>
      <c r="H26" s="38" t="s">
        <v>382</v>
      </c>
      <c r="I26" s="46">
        <v>45945</v>
      </c>
      <c r="J26" s="46" t="s">
        <v>132</v>
      </c>
      <c r="K26" s="46" t="s">
        <v>235</v>
      </c>
      <c r="L26" s="47" t="s">
        <v>131</v>
      </c>
      <c r="M26" s="47">
        <v>80</v>
      </c>
      <c r="N26" s="47">
        <f t="shared" ref="N26:O26" si="3">M26*0.2</f>
        <v>16</v>
      </c>
      <c r="O26" s="48">
        <f t="shared" si="1"/>
        <v>96</v>
      </c>
    </row>
    <row r="27" spans="1:15" x14ac:dyDescent="0.25">
      <c r="A27" s="43" t="s">
        <v>283</v>
      </c>
      <c r="B27" s="38" t="s">
        <v>303</v>
      </c>
      <c r="C27" s="38" t="s">
        <v>311</v>
      </c>
      <c r="D27" s="38" t="s">
        <v>271</v>
      </c>
      <c r="E27" s="38" t="s">
        <v>294</v>
      </c>
      <c r="F27" s="38" t="s">
        <v>132</v>
      </c>
      <c r="G27" s="38" t="s">
        <v>245</v>
      </c>
      <c r="H27" s="38" t="s">
        <v>381</v>
      </c>
      <c r="I27" s="46">
        <v>45940</v>
      </c>
      <c r="J27" s="46" t="s">
        <v>132</v>
      </c>
      <c r="K27" s="46" t="s">
        <v>235</v>
      </c>
      <c r="L27" s="47" t="s">
        <v>131</v>
      </c>
      <c r="M27" s="47">
        <v>180</v>
      </c>
      <c r="N27" s="47">
        <f t="shared" ref="N27:O27" si="4">M27*0.2</f>
        <v>36</v>
      </c>
      <c r="O27" s="48">
        <f t="shared" si="1"/>
        <v>216</v>
      </c>
    </row>
    <row r="28" spans="1:15" x14ac:dyDescent="0.25">
      <c r="A28" s="43" t="s">
        <v>284</v>
      </c>
      <c r="B28" s="38" t="s">
        <v>304</v>
      </c>
      <c r="C28" s="38" t="s">
        <v>311</v>
      </c>
      <c r="D28" s="38" t="s">
        <v>273</v>
      </c>
      <c r="E28" s="38" t="s">
        <v>295</v>
      </c>
      <c r="F28" s="38" t="s">
        <v>132</v>
      </c>
      <c r="G28" s="38" t="s">
        <v>245</v>
      </c>
      <c r="H28" s="38" t="s">
        <v>383</v>
      </c>
      <c r="I28" s="46">
        <v>45933</v>
      </c>
      <c r="J28" s="46" t="s">
        <v>132</v>
      </c>
      <c r="K28" s="46" t="s">
        <v>236</v>
      </c>
      <c r="L28" s="47" t="s">
        <v>131</v>
      </c>
      <c r="M28" s="47">
        <v>120</v>
      </c>
      <c r="N28" s="47">
        <f>M28*0.2</f>
        <v>24</v>
      </c>
      <c r="O28" s="48">
        <f>M28+N28</f>
        <v>144</v>
      </c>
    </row>
    <row r="29" spans="1:15" x14ac:dyDescent="0.25">
      <c r="A29" s="43" t="s">
        <v>285</v>
      </c>
      <c r="B29" s="38" t="s">
        <v>305</v>
      </c>
      <c r="C29" s="38" t="s">
        <v>313</v>
      </c>
      <c r="D29" s="38" t="s">
        <v>274</v>
      </c>
      <c r="E29" s="38" t="s">
        <v>296</v>
      </c>
      <c r="F29" s="38" t="s">
        <v>132</v>
      </c>
      <c r="G29" s="38" t="s">
        <v>245</v>
      </c>
      <c r="H29" s="38" t="s">
        <v>384</v>
      </c>
      <c r="I29" s="46">
        <v>45948</v>
      </c>
      <c r="J29" s="46" t="s">
        <v>132</v>
      </c>
      <c r="K29" s="46" t="s">
        <v>235</v>
      </c>
      <c r="L29" s="47" t="s">
        <v>131</v>
      </c>
      <c r="M29" s="47">
        <v>450</v>
      </c>
      <c r="N29" s="47">
        <f t="shared" ref="N29:O29" si="5">M29*0.2</f>
        <v>90</v>
      </c>
      <c r="O29" s="48">
        <f t="shared" ref="O29:O33" si="6">M29+N29</f>
        <v>540</v>
      </c>
    </row>
    <row r="30" spans="1:15" ht="30" x14ac:dyDescent="0.25">
      <c r="A30" s="43" t="s">
        <v>286</v>
      </c>
      <c r="B30" s="38" t="s">
        <v>306</v>
      </c>
      <c r="C30" s="38" t="s">
        <v>311</v>
      </c>
      <c r="D30" s="38" t="s">
        <v>271</v>
      </c>
      <c r="E30" s="38" t="s">
        <v>297</v>
      </c>
      <c r="F30" s="38" t="s">
        <v>131</v>
      </c>
      <c r="G30" s="38" t="s">
        <v>392</v>
      </c>
      <c r="H30" s="38" t="s">
        <v>383</v>
      </c>
      <c r="I30" s="46">
        <v>45939</v>
      </c>
      <c r="J30" s="46" t="s">
        <v>132</v>
      </c>
      <c r="K30" s="46" t="s">
        <v>237</v>
      </c>
      <c r="L30" s="47" t="s">
        <v>131</v>
      </c>
      <c r="M30" s="47">
        <v>120</v>
      </c>
      <c r="N30" s="47">
        <f t="shared" ref="N30:O30" si="7">M30*0.2</f>
        <v>24</v>
      </c>
      <c r="O30" s="48">
        <f t="shared" si="6"/>
        <v>144</v>
      </c>
    </row>
    <row r="31" spans="1:15" x14ac:dyDescent="0.25">
      <c r="A31" s="43" t="s">
        <v>287</v>
      </c>
      <c r="B31" s="38" t="s">
        <v>307</v>
      </c>
      <c r="C31" s="38" t="s">
        <v>313</v>
      </c>
      <c r="D31" s="38" t="s">
        <v>274</v>
      </c>
      <c r="E31" s="38" t="s">
        <v>298</v>
      </c>
      <c r="F31" s="38" t="s">
        <v>132</v>
      </c>
      <c r="G31" s="38" t="s">
        <v>393</v>
      </c>
      <c r="H31" s="38" t="s">
        <v>381</v>
      </c>
      <c r="I31" s="46">
        <v>45943</v>
      </c>
      <c r="J31" s="46" t="s">
        <v>132</v>
      </c>
      <c r="K31" s="46" t="s">
        <v>237</v>
      </c>
      <c r="L31" s="47" t="s">
        <v>131</v>
      </c>
      <c r="M31" s="47">
        <v>175</v>
      </c>
      <c r="N31" s="47">
        <f t="shared" ref="N31:O31" si="8">M31*0.2</f>
        <v>35</v>
      </c>
      <c r="O31" s="48">
        <f t="shared" si="6"/>
        <v>210</v>
      </c>
    </row>
    <row r="32" spans="1:15" x14ac:dyDescent="0.25">
      <c r="A32" s="43" t="s">
        <v>288</v>
      </c>
      <c r="B32" s="38" t="s">
        <v>308</v>
      </c>
      <c r="C32" s="38" t="s">
        <v>311</v>
      </c>
      <c r="D32" s="38" t="s">
        <v>273</v>
      </c>
      <c r="E32" s="38" t="s">
        <v>299</v>
      </c>
      <c r="F32" s="38" t="s">
        <v>132</v>
      </c>
      <c r="G32" s="38" t="s">
        <v>394</v>
      </c>
      <c r="H32" s="38" t="s">
        <v>384</v>
      </c>
      <c r="I32" s="46">
        <v>45928</v>
      </c>
      <c r="J32" s="46" t="s">
        <v>131</v>
      </c>
      <c r="K32" s="46" t="s">
        <v>235</v>
      </c>
      <c r="L32" s="47" t="s">
        <v>131</v>
      </c>
      <c r="M32" s="47">
        <v>85</v>
      </c>
      <c r="N32" s="47">
        <f t="shared" ref="N32:O32" si="9">M32*0.2</f>
        <v>17</v>
      </c>
      <c r="O32" s="48">
        <f t="shared" si="6"/>
        <v>102</v>
      </c>
    </row>
    <row r="33" spans="1:15" ht="15.75" thickBot="1" x14ac:dyDescent="0.3">
      <c r="A33" s="44" t="s">
        <v>289</v>
      </c>
      <c r="B33" s="41" t="s">
        <v>309</v>
      </c>
      <c r="C33" s="41" t="s">
        <v>310</v>
      </c>
      <c r="D33" s="41" t="s">
        <v>275</v>
      </c>
      <c r="E33" s="41" t="s">
        <v>300</v>
      </c>
      <c r="F33" s="41" t="s">
        <v>132</v>
      </c>
      <c r="G33" s="41" t="s">
        <v>394</v>
      </c>
      <c r="H33" s="41" t="s">
        <v>383</v>
      </c>
      <c r="I33" s="49">
        <v>45946</v>
      </c>
      <c r="J33" s="49" t="s">
        <v>132</v>
      </c>
      <c r="K33" s="49" t="s">
        <v>236</v>
      </c>
      <c r="L33" s="49" t="s">
        <v>131</v>
      </c>
      <c r="M33" s="50">
        <v>140</v>
      </c>
      <c r="N33" s="50">
        <f t="shared" ref="N33:O33" si="10">M33*0.2</f>
        <v>28</v>
      </c>
      <c r="O33" s="51">
        <f t="shared" si="6"/>
        <v>168</v>
      </c>
    </row>
    <row r="34" spans="1:15" x14ac:dyDescent="0.25">
      <c r="A34" s="45"/>
      <c r="B34" s="45"/>
      <c r="C34" s="45"/>
      <c r="D34" s="45"/>
      <c r="E34" s="38"/>
    </row>
    <row r="37" spans="1:15" x14ac:dyDescent="0.25">
      <c r="A37" s="45"/>
      <c r="B37" s="45"/>
      <c r="C37" s="45"/>
      <c r="D37" s="45"/>
      <c r="E37" s="38"/>
    </row>
    <row r="39" spans="1:15" ht="15.75" thickBot="1" x14ac:dyDescent="0.3"/>
    <row r="40" spans="1:15" ht="19.5" thickBot="1" x14ac:dyDescent="0.3">
      <c r="A40" s="29" t="s">
        <v>261</v>
      </c>
      <c r="B40" s="25"/>
      <c r="C40" s="26"/>
      <c r="G40" s="29" t="s">
        <v>363</v>
      </c>
      <c r="H40" s="25"/>
      <c r="I40" s="26"/>
      <c r="L40" s="29" t="s">
        <v>380</v>
      </c>
      <c r="M40" s="25"/>
      <c r="N40" s="26"/>
    </row>
    <row r="41" spans="1:15" ht="15.75" thickBot="1" x14ac:dyDescent="0.3"/>
    <row r="42" spans="1:15" ht="38.25" thickBot="1" x14ac:dyDescent="0.3">
      <c r="A42" s="19" t="s">
        <v>326</v>
      </c>
      <c r="B42" s="20" t="s">
        <v>325</v>
      </c>
      <c r="C42" s="20" t="s">
        <v>264</v>
      </c>
      <c r="D42" s="20" t="s">
        <v>323</v>
      </c>
      <c r="E42" s="21" t="s">
        <v>324</v>
      </c>
      <c r="G42" s="19" t="s">
        <v>364</v>
      </c>
      <c r="H42" s="20" t="s">
        <v>79</v>
      </c>
      <c r="I42" s="20" t="s">
        <v>80</v>
      </c>
      <c r="J42" s="21" t="s">
        <v>395</v>
      </c>
      <c r="L42" s="19" t="s">
        <v>364</v>
      </c>
      <c r="M42" s="20" t="s">
        <v>5</v>
      </c>
      <c r="N42" s="20" t="s">
        <v>80</v>
      </c>
      <c r="O42" s="21" t="s">
        <v>385</v>
      </c>
    </row>
    <row r="43" spans="1:15" ht="30" x14ac:dyDescent="0.25">
      <c r="A43" s="37" t="s">
        <v>322</v>
      </c>
      <c r="B43" s="45" t="s">
        <v>280</v>
      </c>
      <c r="C43" s="38" t="s">
        <v>291</v>
      </c>
      <c r="D43" s="45" t="s">
        <v>365</v>
      </c>
      <c r="E43" s="52">
        <v>1</v>
      </c>
      <c r="G43" s="4" t="s">
        <v>365</v>
      </c>
      <c r="H43" s="5" t="s">
        <v>81</v>
      </c>
      <c r="I43" s="5" t="s">
        <v>82</v>
      </c>
      <c r="J43" s="27" t="s">
        <v>83</v>
      </c>
      <c r="L43" s="4" t="s">
        <v>381</v>
      </c>
      <c r="M43" s="38" t="s">
        <v>126</v>
      </c>
      <c r="N43" s="5" t="s">
        <v>386</v>
      </c>
      <c r="O43" s="27" t="s">
        <v>389</v>
      </c>
    </row>
    <row r="44" spans="1:15" ht="30" x14ac:dyDescent="0.25">
      <c r="A44" s="37" t="s">
        <v>327</v>
      </c>
      <c r="B44" s="45" t="s">
        <v>280</v>
      </c>
      <c r="C44" s="38" t="s">
        <v>291</v>
      </c>
      <c r="D44" s="45" t="s">
        <v>366</v>
      </c>
      <c r="E44" s="52">
        <v>1</v>
      </c>
      <c r="G44" s="4" t="s">
        <v>366</v>
      </c>
      <c r="H44" s="5" t="s">
        <v>84</v>
      </c>
      <c r="I44" s="5" t="s">
        <v>85</v>
      </c>
      <c r="J44" s="27" t="s">
        <v>86</v>
      </c>
      <c r="L44" s="4" t="s">
        <v>382</v>
      </c>
      <c r="M44" s="38" t="s">
        <v>127</v>
      </c>
      <c r="N44" s="5" t="s">
        <v>387</v>
      </c>
      <c r="O44" s="27" t="s">
        <v>390</v>
      </c>
    </row>
    <row r="45" spans="1:15" ht="30" x14ac:dyDescent="0.25">
      <c r="A45" s="37" t="s">
        <v>328</v>
      </c>
      <c r="B45" s="45" t="s">
        <v>280</v>
      </c>
      <c r="C45" s="38" t="s">
        <v>291</v>
      </c>
      <c r="D45" s="45" t="s">
        <v>367</v>
      </c>
      <c r="E45" s="52">
        <v>1</v>
      </c>
      <c r="G45" s="4" t="s">
        <v>367</v>
      </c>
      <c r="H45" s="5" t="s">
        <v>87</v>
      </c>
      <c r="I45" s="5" t="s">
        <v>88</v>
      </c>
      <c r="J45" s="27" t="s">
        <v>89</v>
      </c>
      <c r="L45" s="4" t="s">
        <v>383</v>
      </c>
      <c r="M45" s="38" t="s">
        <v>128</v>
      </c>
      <c r="N45" s="5" t="s">
        <v>128</v>
      </c>
      <c r="O45" s="27" t="s">
        <v>391</v>
      </c>
    </row>
    <row r="46" spans="1:15" ht="45.75" thickBot="1" x14ac:dyDescent="0.3">
      <c r="A46" s="37" t="s">
        <v>329</v>
      </c>
      <c r="B46" s="45" t="s">
        <v>280</v>
      </c>
      <c r="C46" s="38" t="s">
        <v>291</v>
      </c>
      <c r="D46" s="45" t="s">
        <v>368</v>
      </c>
      <c r="E46" s="52">
        <v>4</v>
      </c>
      <c r="G46" s="4" t="s">
        <v>368</v>
      </c>
      <c r="H46" s="5" t="s">
        <v>90</v>
      </c>
      <c r="I46" s="5" t="s">
        <v>91</v>
      </c>
      <c r="J46" s="27" t="s">
        <v>92</v>
      </c>
      <c r="L46" s="10" t="s">
        <v>384</v>
      </c>
      <c r="M46" s="41" t="s">
        <v>129</v>
      </c>
      <c r="N46" s="11" t="s">
        <v>388</v>
      </c>
      <c r="O46" s="28" t="s">
        <v>245</v>
      </c>
    </row>
    <row r="47" spans="1:15" ht="30" x14ac:dyDescent="0.25">
      <c r="A47" s="37" t="s">
        <v>330</v>
      </c>
      <c r="B47" s="45" t="s">
        <v>281</v>
      </c>
      <c r="C47" s="38" t="s">
        <v>292</v>
      </c>
      <c r="D47" s="45" t="s">
        <v>373</v>
      </c>
      <c r="E47" s="52">
        <v>1</v>
      </c>
      <c r="G47" s="4" t="s">
        <v>369</v>
      </c>
      <c r="H47" s="5" t="s">
        <v>93</v>
      </c>
      <c r="I47" s="5" t="s">
        <v>94</v>
      </c>
      <c r="J47" s="27" t="s">
        <v>95</v>
      </c>
    </row>
    <row r="48" spans="1:15" ht="30" x14ac:dyDescent="0.25">
      <c r="A48" s="37" t="s">
        <v>331</v>
      </c>
      <c r="B48" s="45" t="s">
        <v>281</v>
      </c>
      <c r="C48" s="38" t="s">
        <v>292</v>
      </c>
      <c r="D48" s="45" t="s">
        <v>374</v>
      </c>
      <c r="E48" s="52">
        <v>2</v>
      </c>
      <c r="G48" s="4" t="s">
        <v>370</v>
      </c>
      <c r="H48" s="5" t="s">
        <v>96</v>
      </c>
      <c r="I48" s="5" t="s">
        <v>97</v>
      </c>
      <c r="J48" s="27" t="s">
        <v>98</v>
      </c>
    </row>
    <row r="49" spans="1:16" ht="30.75" thickBot="1" x14ac:dyDescent="0.3">
      <c r="A49" s="37" t="s">
        <v>332</v>
      </c>
      <c r="B49" s="45" t="s">
        <v>281</v>
      </c>
      <c r="C49" s="38" t="s">
        <v>292</v>
      </c>
      <c r="D49" s="45" t="s">
        <v>375</v>
      </c>
      <c r="E49" s="52">
        <v>1</v>
      </c>
      <c r="G49" s="4" t="s">
        <v>371</v>
      </c>
      <c r="H49" s="5" t="s">
        <v>99</v>
      </c>
      <c r="I49" s="5" t="s">
        <v>100</v>
      </c>
      <c r="J49" s="27" t="s">
        <v>101</v>
      </c>
    </row>
    <row r="50" spans="1:16" ht="30.75" thickBot="1" x14ac:dyDescent="0.3">
      <c r="A50" s="37" t="s">
        <v>333</v>
      </c>
      <c r="B50" s="45" t="s">
        <v>282</v>
      </c>
      <c r="C50" s="38" t="s">
        <v>293</v>
      </c>
      <c r="D50" s="45" t="s">
        <v>373</v>
      </c>
      <c r="E50" s="52">
        <v>1</v>
      </c>
      <c r="G50" s="4" t="s">
        <v>372</v>
      </c>
      <c r="H50" s="5" t="s">
        <v>102</v>
      </c>
      <c r="I50" s="5" t="s">
        <v>103</v>
      </c>
      <c r="J50" s="27" t="s">
        <v>104</v>
      </c>
      <c r="L50" s="29" t="s">
        <v>396</v>
      </c>
      <c r="M50" s="25"/>
      <c r="N50" s="26"/>
    </row>
    <row r="51" spans="1:16" ht="30.75" thickBot="1" x14ac:dyDescent="0.3">
      <c r="A51" s="37" t="s">
        <v>334</v>
      </c>
      <c r="B51" s="45" t="s">
        <v>282</v>
      </c>
      <c r="C51" s="38" t="s">
        <v>293</v>
      </c>
      <c r="D51" s="45" t="s">
        <v>374</v>
      </c>
      <c r="E51" s="52">
        <v>2</v>
      </c>
      <c r="G51" s="4" t="s">
        <v>373</v>
      </c>
      <c r="H51" s="5" t="s">
        <v>105</v>
      </c>
      <c r="I51" s="5" t="s">
        <v>106</v>
      </c>
      <c r="J51" s="27" t="s">
        <v>107</v>
      </c>
    </row>
    <row r="52" spans="1:16" ht="57" thickBot="1" x14ac:dyDescent="0.3">
      <c r="A52" s="37" t="s">
        <v>335</v>
      </c>
      <c r="B52" s="45" t="s">
        <v>282</v>
      </c>
      <c r="C52" s="38" t="s">
        <v>293</v>
      </c>
      <c r="D52" s="45" t="s">
        <v>375</v>
      </c>
      <c r="E52" s="52">
        <v>1</v>
      </c>
      <c r="G52" s="4" t="s">
        <v>374</v>
      </c>
      <c r="H52" s="5" t="s">
        <v>108</v>
      </c>
      <c r="I52" s="5" t="s">
        <v>109</v>
      </c>
      <c r="J52" s="27" t="s">
        <v>110</v>
      </c>
      <c r="L52" s="16" t="s">
        <v>259</v>
      </c>
      <c r="M52" s="17" t="s">
        <v>400</v>
      </c>
      <c r="N52" s="17" t="s">
        <v>403</v>
      </c>
      <c r="O52" s="17" t="s">
        <v>401</v>
      </c>
      <c r="P52" s="18" t="s">
        <v>402</v>
      </c>
    </row>
    <row r="53" spans="1:16" ht="30" x14ac:dyDescent="0.25">
      <c r="A53" s="37" t="s">
        <v>336</v>
      </c>
      <c r="B53" s="45" t="s">
        <v>283</v>
      </c>
      <c r="C53" s="38" t="s">
        <v>294</v>
      </c>
      <c r="D53" s="45" t="s">
        <v>365</v>
      </c>
      <c r="E53" s="52">
        <v>1</v>
      </c>
      <c r="G53" s="4" t="s">
        <v>375</v>
      </c>
      <c r="H53" s="5" t="s">
        <v>111</v>
      </c>
      <c r="I53" s="5" t="s">
        <v>112</v>
      </c>
      <c r="J53" s="27" t="s">
        <v>113</v>
      </c>
      <c r="L53" s="32" t="s">
        <v>397</v>
      </c>
      <c r="M53" s="35" t="s">
        <v>301</v>
      </c>
      <c r="N53" s="33">
        <v>1</v>
      </c>
      <c r="O53" s="33" t="s">
        <v>235</v>
      </c>
      <c r="P53" s="58" t="s">
        <v>404</v>
      </c>
    </row>
    <row r="54" spans="1:16" ht="45" x14ac:dyDescent="0.25">
      <c r="A54" s="37" t="s">
        <v>337</v>
      </c>
      <c r="B54" s="45" t="s">
        <v>283</v>
      </c>
      <c r="C54" s="38" t="s">
        <v>294</v>
      </c>
      <c r="D54" s="45" t="s">
        <v>366</v>
      </c>
      <c r="E54" s="52">
        <v>1</v>
      </c>
      <c r="G54" s="4" t="s">
        <v>376</v>
      </c>
      <c r="H54" s="5" t="s">
        <v>114</v>
      </c>
      <c r="I54" s="5" t="s">
        <v>115</v>
      </c>
      <c r="J54" s="27" t="s">
        <v>116</v>
      </c>
      <c r="L54" s="4" t="s">
        <v>398</v>
      </c>
      <c r="M54" s="38" t="s">
        <v>304</v>
      </c>
      <c r="N54" s="5">
        <v>15</v>
      </c>
      <c r="O54" s="5" t="s">
        <v>235</v>
      </c>
      <c r="P54" s="27" t="s">
        <v>405</v>
      </c>
    </row>
    <row r="55" spans="1:16" ht="30.75" thickBot="1" x14ac:dyDescent="0.3">
      <c r="A55" s="37" t="s">
        <v>338</v>
      </c>
      <c r="B55" s="45" t="s">
        <v>283</v>
      </c>
      <c r="C55" s="38" t="s">
        <v>294</v>
      </c>
      <c r="D55" s="45" t="s">
        <v>367</v>
      </c>
      <c r="E55" s="52">
        <v>1</v>
      </c>
      <c r="G55" s="4" t="s">
        <v>377</v>
      </c>
      <c r="H55" s="5" t="s">
        <v>117</v>
      </c>
      <c r="I55" s="5" t="s">
        <v>118</v>
      </c>
      <c r="J55" s="27" t="s">
        <v>119</v>
      </c>
      <c r="L55" s="10" t="s">
        <v>399</v>
      </c>
      <c r="M55" s="41" t="s">
        <v>309</v>
      </c>
      <c r="N55" s="11">
        <v>1</v>
      </c>
      <c r="O55" s="11" t="s">
        <v>235</v>
      </c>
      <c r="P55" s="28" t="s">
        <v>406</v>
      </c>
    </row>
    <row r="56" spans="1:16" ht="45" x14ac:dyDescent="0.25">
      <c r="A56" s="37" t="s">
        <v>339</v>
      </c>
      <c r="B56" s="45" t="s">
        <v>283</v>
      </c>
      <c r="C56" s="38" t="s">
        <v>294</v>
      </c>
      <c r="D56" s="45" t="s">
        <v>368</v>
      </c>
      <c r="E56" s="52">
        <v>4</v>
      </c>
      <c r="G56" s="4" t="s">
        <v>378</v>
      </c>
      <c r="H56" s="5" t="s">
        <v>120</v>
      </c>
      <c r="I56" s="5" t="s">
        <v>121</v>
      </c>
      <c r="J56" s="27" t="s">
        <v>122</v>
      </c>
    </row>
    <row r="57" spans="1:16" ht="30.75" thickBot="1" x14ac:dyDescent="0.3">
      <c r="A57" s="37" t="s">
        <v>340</v>
      </c>
      <c r="B57" s="45" t="s">
        <v>284</v>
      </c>
      <c r="C57" s="38" t="s">
        <v>295</v>
      </c>
      <c r="D57" s="45" t="s">
        <v>367</v>
      </c>
      <c r="E57" s="52">
        <v>1</v>
      </c>
      <c r="G57" s="10" t="s">
        <v>379</v>
      </c>
      <c r="H57" s="11" t="s">
        <v>123</v>
      </c>
      <c r="I57" s="11" t="s">
        <v>124</v>
      </c>
      <c r="J57" s="28" t="s">
        <v>125</v>
      </c>
    </row>
    <row r="58" spans="1:16" x14ac:dyDescent="0.25">
      <c r="A58" s="37" t="s">
        <v>341</v>
      </c>
      <c r="B58" s="45" t="s">
        <v>284</v>
      </c>
      <c r="C58" s="38" t="s">
        <v>295</v>
      </c>
      <c r="D58" s="45" t="s">
        <v>370</v>
      </c>
      <c r="E58" s="52">
        <v>6</v>
      </c>
      <c r="G58" s="45"/>
      <c r="H58" s="45"/>
      <c r="I58" s="45"/>
      <c r="J58" s="45"/>
    </row>
    <row r="59" spans="1:16" x14ac:dyDescent="0.25">
      <c r="A59" s="37" t="s">
        <v>342</v>
      </c>
      <c r="B59" s="45" t="s">
        <v>284</v>
      </c>
      <c r="C59" s="38" t="s">
        <v>295</v>
      </c>
      <c r="D59" s="45" t="s">
        <v>371</v>
      </c>
      <c r="E59" s="52">
        <v>1</v>
      </c>
      <c r="G59" s="45"/>
      <c r="H59" s="45"/>
      <c r="I59" s="45"/>
      <c r="J59" s="45"/>
    </row>
    <row r="60" spans="1:16" ht="15.75" thickBot="1" x14ac:dyDescent="0.3">
      <c r="A60" s="37" t="s">
        <v>343</v>
      </c>
      <c r="B60" s="45" t="s">
        <v>285</v>
      </c>
      <c r="C60" s="38" t="s">
        <v>296</v>
      </c>
      <c r="D60" s="38" t="s">
        <v>365</v>
      </c>
      <c r="E60" s="52">
        <v>1</v>
      </c>
      <c r="G60" s="45"/>
      <c r="H60" s="45"/>
      <c r="I60" s="45"/>
      <c r="J60" s="45"/>
    </row>
    <row r="61" spans="1:16" ht="19.5" thickBot="1" x14ac:dyDescent="0.3">
      <c r="A61" s="37" t="s">
        <v>344</v>
      </c>
      <c r="B61" s="45" t="s">
        <v>285</v>
      </c>
      <c r="C61" s="38" t="s">
        <v>296</v>
      </c>
      <c r="D61" s="38" t="s">
        <v>366</v>
      </c>
      <c r="E61" s="52">
        <v>1</v>
      </c>
      <c r="G61" s="29" t="s">
        <v>454</v>
      </c>
      <c r="H61" s="25"/>
      <c r="I61" s="26"/>
    </row>
    <row r="62" spans="1:16" ht="15.75" thickBot="1" x14ac:dyDescent="0.3">
      <c r="A62" s="37" t="s">
        <v>345</v>
      </c>
      <c r="B62" s="45" t="s">
        <v>285</v>
      </c>
      <c r="C62" s="38" t="s">
        <v>296</v>
      </c>
      <c r="D62" s="38" t="s">
        <v>367</v>
      </c>
      <c r="E62" s="52">
        <v>1</v>
      </c>
    </row>
    <row r="63" spans="1:16" ht="19.5" thickBot="1" x14ac:dyDescent="0.3">
      <c r="A63" s="37" t="s">
        <v>346</v>
      </c>
      <c r="B63" s="45" t="s">
        <v>285</v>
      </c>
      <c r="C63" s="38" t="s">
        <v>296</v>
      </c>
      <c r="D63" s="45" t="s">
        <v>368</v>
      </c>
      <c r="E63" s="52">
        <v>4</v>
      </c>
      <c r="G63" s="19" t="s">
        <v>455</v>
      </c>
      <c r="H63" s="20" t="s">
        <v>80</v>
      </c>
      <c r="I63" s="20"/>
      <c r="J63" s="21"/>
    </row>
    <row r="64" spans="1:16" x14ac:dyDescent="0.25">
      <c r="A64" s="37" t="s">
        <v>347</v>
      </c>
      <c r="B64" s="45" t="s">
        <v>285</v>
      </c>
      <c r="C64" s="38" t="s">
        <v>296</v>
      </c>
      <c r="D64" s="45" t="s">
        <v>369</v>
      </c>
      <c r="E64" s="52">
        <v>2</v>
      </c>
      <c r="G64" s="4" t="s">
        <v>456</v>
      </c>
      <c r="H64" s="38" t="s">
        <v>460</v>
      </c>
      <c r="I64" s="5"/>
      <c r="J64" s="27"/>
    </row>
    <row r="65" spans="1:10" x14ac:dyDescent="0.25">
      <c r="A65" s="37" t="s">
        <v>348</v>
      </c>
      <c r="B65" s="45" t="s">
        <v>285</v>
      </c>
      <c r="C65" s="38" t="s">
        <v>296</v>
      </c>
      <c r="D65" s="45" t="s">
        <v>370</v>
      </c>
      <c r="E65" s="52">
        <v>6</v>
      </c>
      <c r="G65" s="4" t="s">
        <v>457</v>
      </c>
      <c r="H65" s="38" t="s">
        <v>461</v>
      </c>
      <c r="I65" s="5"/>
      <c r="J65" s="27"/>
    </row>
    <row r="66" spans="1:10" ht="30" x14ac:dyDescent="0.25">
      <c r="A66" s="37" t="s">
        <v>349</v>
      </c>
      <c r="B66" s="45" t="s">
        <v>285</v>
      </c>
      <c r="C66" s="38" t="s">
        <v>296</v>
      </c>
      <c r="D66" s="45" t="s">
        <v>371</v>
      </c>
      <c r="E66" s="52">
        <v>1</v>
      </c>
      <c r="G66" s="4" t="s">
        <v>458</v>
      </c>
      <c r="H66" s="38" t="s">
        <v>462</v>
      </c>
      <c r="I66" s="5"/>
      <c r="J66" s="27"/>
    </row>
    <row r="67" spans="1:10" ht="15.75" thickBot="1" x14ac:dyDescent="0.3">
      <c r="A67" s="37" t="s">
        <v>350</v>
      </c>
      <c r="B67" s="45" t="s">
        <v>285</v>
      </c>
      <c r="C67" s="38" t="s">
        <v>296</v>
      </c>
      <c r="D67" s="45" t="s">
        <v>372</v>
      </c>
      <c r="E67" s="52">
        <v>1</v>
      </c>
      <c r="G67" s="10" t="s">
        <v>459</v>
      </c>
      <c r="H67" s="41" t="s">
        <v>463</v>
      </c>
      <c r="I67" s="11"/>
      <c r="J67" s="28"/>
    </row>
    <row r="68" spans="1:10" x14ac:dyDescent="0.25">
      <c r="A68" s="37" t="s">
        <v>351</v>
      </c>
      <c r="B68" s="45" t="s">
        <v>286</v>
      </c>
      <c r="C68" s="38" t="s">
        <v>297</v>
      </c>
      <c r="D68" s="45" t="s">
        <v>367</v>
      </c>
      <c r="E68" s="52">
        <v>1</v>
      </c>
    </row>
    <row r="69" spans="1:10" x14ac:dyDescent="0.25">
      <c r="A69" s="37" t="s">
        <v>352</v>
      </c>
      <c r="B69" s="45" t="s">
        <v>286</v>
      </c>
      <c r="C69" s="38" t="s">
        <v>297</v>
      </c>
      <c r="D69" s="45" t="s">
        <v>370</v>
      </c>
      <c r="E69" s="52">
        <v>6</v>
      </c>
    </row>
    <row r="70" spans="1:10" x14ac:dyDescent="0.25">
      <c r="A70" s="37" t="s">
        <v>353</v>
      </c>
      <c r="B70" s="45" t="s">
        <v>286</v>
      </c>
      <c r="C70" s="38" t="s">
        <v>297</v>
      </c>
      <c r="D70" s="45" t="s">
        <v>371</v>
      </c>
      <c r="E70" s="52">
        <v>1</v>
      </c>
    </row>
    <row r="71" spans="1:10" x14ac:dyDescent="0.25">
      <c r="A71" s="37" t="s">
        <v>354</v>
      </c>
      <c r="B71" s="45" t="s">
        <v>287</v>
      </c>
      <c r="C71" s="45" t="s">
        <v>298</v>
      </c>
      <c r="D71" s="45" t="s">
        <v>367</v>
      </c>
      <c r="E71" s="52">
        <v>1</v>
      </c>
    </row>
    <row r="72" spans="1:10" x14ac:dyDescent="0.25">
      <c r="A72" s="37" t="s">
        <v>355</v>
      </c>
      <c r="B72" s="45" t="s">
        <v>287</v>
      </c>
      <c r="C72" s="45" t="s">
        <v>298</v>
      </c>
      <c r="D72" s="45" t="s">
        <v>368</v>
      </c>
      <c r="E72" s="52">
        <v>4</v>
      </c>
    </row>
    <row r="73" spans="1:10" x14ac:dyDescent="0.25">
      <c r="A73" s="37" t="s">
        <v>356</v>
      </c>
      <c r="B73" s="45" t="s">
        <v>287</v>
      </c>
      <c r="C73" s="45" t="s">
        <v>298</v>
      </c>
      <c r="D73" s="45" t="s">
        <v>374</v>
      </c>
      <c r="E73" s="52">
        <v>2</v>
      </c>
    </row>
    <row r="74" spans="1:10" x14ac:dyDescent="0.25">
      <c r="A74" s="37" t="s">
        <v>357</v>
      </c>
      <c r="B74" s="45" t="s">
        <v>287</v>
      </c>
      <c r="C74" s="45" t="s">
        <v>298</v>
      </c>
      <c r="D74" s="45" t="s">
        <v>375</v>
      </c>
      <c r="E74" s="52">
        <v>1</v>
      </c>
    </row>
    <row r="75" spans="1:10" x14ac:dyDescent="0.25">
      <c r="A75" s="37" t="s">
        <v>358</v>
      </c>
      <c r="B75" s="45" t="s">
        <v>288</v>
      </c>
      <c r="C75" s="45" t="s">
        <v>299</v>
      </c>
      <c r="D75" s="45" t="s">
        <v>374</v>
      </c>
      <c r="E75" s="52">
        <v>2</v>
      </c>
    </row>
    <row r="76" spans="1:10" x14ac:dyDescent="0.25">
      <c r="A76" s="37" t="s">
        <v>359</v>
      </c>
      <c r="B76" s="45" t="s">
        <v>288</v>
      </c>
      <c r="C76" s="45" t="s">
        <v>299</v>
      </c>
      <c r="D76" s="45" t="s">
        <v>375</v>
      </c>
      <c r="E76" s="52">
        <v>1</v>
      </c>
    </row>
    <row r="77" spans="1:10" x14ac:dyDescent="0.25">
      <c r="A77" s="37" t="s">
        <v>360</v>
      </c>
      <c r="B77" s="45" t="s">
        <v>289</v>
      </c>
      <c r="C77" s="45" t="s">
        <v>300</v>
      </c>
      <c r="D77" s="45" t="s">
        <v>367</v>
      </c>
      <c r="E77" s="52">
        <v>1</v>
      </c>
    </row>
    <row r="78" spans="1:10" x14ac:dyDescent="0.25">
      <c r="A78" s="37" t="s">
        <v>361</v>
      </c>
      <c r="B78" s="45" t="s">
        <v>289</v>
      </c>
      <c r="C78" s="45" t="s">
        <v>300</v>
      </c>
      <c r="D78" s="45" t="s">
        <v>370</v>
      </c>
      <c r="E78" s="52">
        <v>6</v>
      </c>
    </row>
    <row r="79" spans="1:10" ht="15.75" thickBot="1" x14ac:dyDescent="0.3">
      <c r="A79" s="40" t="s">
        <v>362</v>
      </c>
      <c r="B79" s="56" t="s">
        <v>289</v>
      </c>
      <c r="C79" s="56" t="s">
        <v>300</v>
      </c>
      <c r="D79" s="56" t="s">
        <v>371</v>
      </c>
      <c r="E79" s="53">
        <v>1</v>
      </c>
    </row>
    <row r="81" spans="1:13" ht="15.75" thickBot="1" x14ac:dyDescent="0.3"/>
    <row r="82" spans="1:13" ht="19.5" thickBot="1" x14ac:dyDescent="0.3">
      <c r="A82" s="29" t="s">
        <v>452</v>
      </c>
      <c r="B82" s="25"/>
      <c r="C82" s="26"/>
    </row>
    <row r="83" spans="1:13" ht="15.75" thickBot="1" x14ac:dyDescent="0.3"/>
    <row r="84" spans="1:13" ht="19.5" thickBot="1" x14ac:dyDescent="0.3">
      <c r="A84" s="19" t="s">
        <v>408</v>
      </c>
      <c r="B84" s="20" t="s">
        <v>400</v>
      </c>
      <c r="C84" s="20" t="s">
        <v>409</v>
      </c>
      <c r="D84" s="20" t="s">
        <v>253</v>
      </c>
      <c r="E84" s="20" t="s">
        <v>410</v>
      </c>
      <c r="F84" s="20" t="s">
        <v>411</v>
      </c>
      <c r="G84" s="20" t="s">
        <v>412</v>
      </c>
      <c r="H84" s="20" t="s">
        <v>413</v>
      </c>
      <c r="I84" s="20" t="s">
        <v>259</v>
      </c>
      <c r="J84" s="20" t="s">
        <v>266</v>
      </c>
      <c r="K84" s="20" t="s">
        <v>265</v>
      </c>
      <c r="L84" s="20" t="s">
        <v>278</v>
      </c>
      <c r="M84" s="21" t="s">
        <v>453</v>
      </c>
    </row>
    <row r="85" spans="1:13" x14ac:dyDescent="0.25">
      <c r="A85" s="37" t="s">
        <v>421</v>
      </c>
      <c r="B85" s="38" t="s">
        <v>290</v>
      </c>
      <c r="C85" s="45" t="s">
        <v>245</v>
      </c>
      <c r="D85" s="38" t="s">
        <v>14</v>
      </c>
      <c r="E85" s="38" t="s">
        <v>179</v>
      </c>
      <c r="F85" s="38" t="s">
        <v>178</v>
      </c>
      <c r="G85" s="38" t="s">
        <v>144</v>
      </c>
      <c r="H85" s="38" t="s">
        <v>145</v>
      </c>
      <c r="I85" s="38" t="s">
        <v>245</v>
      </c>
      <c r="J85" s="38" t="s">
        <v>245</v>
      </c>
      <c r="K85" s="38" t="s">
        <v>245</v>
      </c>
      <c r="L85" s="38" t="s">
        <v>245</v>
      </c>
      <c r="M85" s="27" t="s">
        <v>457</v>
      </c>
    </row>
    <row r="86" spans="1:13" ht="30" x14ac:dyDescent="0.25">
      <c r="A86" s="37" t="s">
        <v>422</v>
      </c>
      <c r="B86" s="38" t="s">
        <v>301</v>
      </c>
      <c r="C86" s="45" t="s">
        <v>245</v>
      </c>
      <c r="D86" s="38" t="s">
        <v>16</v>
      </c>
      <c r="E86" s="38" t="s">
        <v>189</v>
      </c>
      <c r="F86" s="38" t="s">
        <v>180</v>
      </c>
      <c r="G86" s="38" t="s">
        <v>146</v>
      </c>
      <c r="H86" s="38" t="s">
        <v>147</v>
      </c>
      <c r="I86" s="38">
        <v>1</v>
      </c>
      <c r="J86" s="38" t="s">
        <v>245</v>
      </c>
      <c r="K86" s="38" t="s">
        <v>245</v>
      </c>
      <c r="L86" s="38" t="s">
        <v>245</v>
      </c>
      <c r="M86" s="27" t="s">
        <v>458</v>
      </c>
    </row>
    <row r="87" spans="1:13" ht="30" x14ac:dyDescent="0.25">
      <c r="A87" s="37" t="s">
        <v>423</v>
      </c>
      <c r="B87" s="38" t="s">
        <v>302</v>
      </c>
      <c r="C87" s="45" t="s">
        <v>245</v>
      </c>
      <c r="D87" s="38" t="s">
        <v>18</v>
      </c>
      <c r="E87" s="38" t="s">
        <v>190</v>
      </c>
      <c r="F87" s="38" t="s">
        <v>181</v>
      </c>
      <c r="G87" s="38" t="s">
        <v>148</v>
      </c>
      <c r="H87" s="38" t="s">
        <v>149</v>
      </c>
      <c r="I87" s="38" t="s">
        <v>245</v>
      </c>
      <c r="J87" s="38" t="s">
        <v>245</v>
      </c>
      <c r="K87" s="38" t="s">
        <v>245</v>
      </c>
      <c r="L87" s="38" t="s">
        <v>245</v>
      </c>
      <c r="M87" s="27" t="s">
        <v>457</v>
      </c>
    </row>
    <row r="88" spans="1:13" ht="30" x14ac:dyDescent="0.25">
      <c r="A88" s="37" t="s">
        <v>424</v>
      </c>
      <c r="B88" s="38" t="s">
        <v>303</v>
      </c>
      <c r="C88" s="45" t="s">
        <v>245</v>
      </c>
      <c r="D88" s="38" t="s">
        <v>20</v>
      </c>
      <c r="E88" s="38" t="s">
        <v>191</v>
      </c>
      <c r="F88" s="38" t="s">
        <v>182</v>
      </c>
      <c r="G88" s="38" t="s">
        <v>150</v>
      </c>
      <c r="H88" s="38" t="s">
        <v>151</v>
      </c>
      <c r="I88" s="38" t="s">
        <v>245</v>
      </c>
      <c r="J88" s="38" t="s">
        <v>245</v>
      </c>
      <c r="K88" s="38" t="s">
        <v>245</v>
      </c>
      <c r="L88" s="38" t="s">
        <v>245</v>
      </c>
      <c r="M88" s="27" t="s">
        <v>457</v>
      </c>
    </row>
    <row r="89" spans="1:13" x14ac:dyDescent="0.25">
      <c r="A89" s="37" t="s">
        <v>425</v>
      </c>
      <c r="B89" s="38" t="s">
        <v>304</v>
      </c>
      <c r="C89" s="45" t="s">
        <v>245</v>
      </c>
      <c r="D89" s="38" t="s">
        <v>22</v>
      </c>
      <c r="E89" s="38" t="s">
        <v>192</v>
      </c>
      <c r="F89" s="38" t="s">
        <v>183</v>
      </c>
      <c r="G89" s="38" t="s">
        <v>152</v>
      </c>
      <c r="H89" s="38" t="s">
        <v>153</v>
      </c>
      <c r="I89" s="38">
        <v>2</v>
      </c>
      <c r="J89" s="38" t="s">
        <v>245</v>
      </c>
      <c r="K89" s="38" t="s">
        <v>245</v>
      </c>
      <c r="L89" s="38" t="s">
        <v>245</v>
      </c>
      <c r="M89" s="27" t="s">
        <v>458</v>
      </c>
    </row>
    <row r="90" spans="1:13" ht="30" x14ac:dyDescent="0.25">
      <c r="A90" s="37" t="s">
        <v>426</v>
      </c>
      <c r="B90" s="38" t="s">
        <v>305</v>
      </c>
      <c r="C90" s="45" t="s">
        <v>245</v>
      </c>
      <c r="D90" s="38" t="s">
        <v>24</v>
      </c>
      <c r="E90" s="38" t="s">
        <v>193</v>
      </c>
      <c r="F90" s="38" t="s">
        <v>184</v>
      </c>
      <c r="G90" s="38" t="s">
        <v>154</v>
      </c>
      <c r="H90" s="38" t="s">
        <v>155</v>
      </c>
      <c r="I90" s="38" t="s">
        <v>245</v>
      </c>
      <c r="J90" s="38" t="s">
        <v>245</v>
      </c>
      <c r="K90" s="38" t="s">
        <v>245</v>
      </c>
      <c r="L90" s="38" t="s">
        <v>245</v>
      </c>
      <c r="M90" s="27" t="s">
        <v>457</v>
      </c>
    </row>
    <row r="91" spans="1:13" ht="30" x14ac:dyDescent="0.25">
      <c r="A91" s="37" t="s">
        <v>427</v>
      </c>
      <c r="B91" s="38" t="s">
        <v>306</v>
      </c>
      <c r="C91" s="45" t="s">
        <v>245</v>
      </c>
      <c r="D91" s="38" t="s">
        <v>26</v>
      </c>
      <c r="E91" s="38" t="s">
        <v>194</v>
      </c>
      <c r="F91" s="38" t="s">
        <v>185</v>
      </c>
      <c r="G91" s="38" t="s">
        <v>156</v>
      </c>
      <c r="H91" s="38" t="s">
        <v>157</v>
      </c>
      <c r="I91" s="38" t="s">
        <v>245</v>
      </c>
      <c r="J91" s="38" t="s">
        <v>245</v>
      </c>
      <c r="K91" s="38" t="s">
        <v>245</v>
      </c>
      <c r="L91" s="38" t="s">
        <v>245</v>
      </c>
      <c r="M91" s="27" t="s">
        <v>457</v>
      </c>
    </row>
    <row r="92" spans="1:13" ht="30" x14ac:dyDescent="0.25">
      <c r="A92" s="37" t="s">
        <v>428</v>
      </c>
      <c r="B92" s="38" t="s">
        <v>307</v>
      </c>
      <c r="C92" s="45" t="s">
        <v>245</v>
      </c>
      <c r="D92" s="38" t="s">
        <v>28</v>
      </c>
      <c r="E92" s="38" t="s">
        <v>195</v>
      </c>
      <c r="F92" s="38" t="s">
        <v>186</v>
      </c>
      <c r="G92" s="38" t="s">
        <v>158</v>
      </c>
      <c r="H92" s="38" t="s">
        <v>159</v>
      </c>
      <c r="I92" s="38" t="s">
        <v>245</v>
      </c>
      <c r="J92" s="38" t="s">
        <v>245</v>
      </c>
      <c r="K92" s="38" t="s">
        <v>245</v>
      </c>
      <c r="L92" s="38" t="s">
        <v>245</v>
      </c>
      <c r="M92" s="27" t="s">
        <v>457</v>
      </c>
    </row>
    <row r="93" spans="1:13" x14ac:dyDescent="0.25">
      <c r="A93" s="37" t="s">
        <v>429</v>
      </c>
      <c r="B93" s="38" t="s">
        <v>308</v>
      </c>
      <c r="C93" s="45" t="s">
        <v>245</v>
      </c>
      <c r="D93" s="38" t="s">
        <v>30</v>
      </c>
      <c r="E93" s="38" t="s">
        <v>196</v>
      </c>
      <c r="F93" s="38" t="s">
        <v>187</v>
      </c>
      <c r="G93" s="38" t="s">
        <v>160</v>
      </c>
      <c r="H93" s="38" t="s">
        <v>161</v>
      </c>
      <c r="I93" s="38" t="s">
        <v>245</v>
      </c>
      <c r="J93" s="38" t="s">
        <v>245</v>
      </c>
      <c r="K93" s="38" t="s">
        <v>245</v>
      </c>
      <c r="L93" s="38" t="s">
        <v>245</v>
      </c>
      <c r="M93" s="27" t="s">
        <v>457</v>
      </c>
    </row>
    <row r="94" spans="1:13" x14ac:dyDescent="0.25">
      <c r="A94" s="37" t="s">
        <v>430</v>
      </c>
      <c r="B94" s="38" t="s">
        <v>309</v>
      </c>
      <c r="C94" s="45" t="s">
        <v>245</v>
      </c>
      <c r="D94" s="38" t="s">
        <v>32</v>
      </c>
      <c r="E94" s="38" t="s">
        <v>197</v>
      </c>
      <c r="F94" s="38" t="s">
        <v>188</v>
      </c>
      <c r="G94" s="38" t="s">
        <v>162</v>
      </c>
      <c r="H94" s="38" t="s">
        <v>163</v>
      </c>
      <c r="I94" s="38">
        <v>3</v>
      </c>
      <c r="J94" s="38" t="s">
        <v>245</v>
      </c>
      <c r="K94" s="38" t="s">
        <v>245</v>
      </c>
      <c r="L94" s="38" t="s">
        <v>245</v>
      </c>
      <c r="M94" s="27" t="s">
        <v>458</v>
      </c>
    </row>
    <row r="95" spans="1:13" x14ac:dyDescent="0.25">
      <c r="A95" s="37" t="s">
        <v>431</v>
      </c>
      <c r="B95" s="38" t="s">
        <v>245</v>
      </c>
      <c r="C95" s="45" t="s">
        <v>314</v>
      </c>
      <c r="D95" s="38" t="s">
        <v>238</v>
      </c>
      <c r="E95" s="38" t="s">
        <v>438</v>
      </c>
      <c r="F95" s="38" t="s">
        <v>439</v>
      </c>
      <c r="G95" s="38" t="str">
        <f>SUBSTITUTE(D95," ",".")&amp;"@email.com"</f>
        <v>Simon.Lee@email.com</v>
      </c>
      <c r="H95" s="38" t="s">
        <v>416</v>
      </c>
      <c r="I95" s="38" t="s">
        <v>245</v>
      </c>
      <c r="J95" s="38" t="s">
        <v>267</v>
      </c>
      <c r="K95" s="38" t="s">
        <v>271</v>
      </c>
      <c r="L95" s="38">
        <v>2</v>
      </c>
      <c r="M95" s="27" t="s">
        <v>459</v>
      </c>
    </row>
    <row r="96" spans="1:13" x14ac:dyDescent="0.25">
      <c r="A96" s="37" t="s">
        <v>432</v>
      </c>
      <c r="B96" s="38" t="s">
        <v>245</v>
      </c>
      <c r="C96" s="45" t="s">
        <v>315</v>
      </c>
      <c r="D96" s="38" t="s">
        <v>240</v>
      </c>
      <c r="E96" s="38" t="s">
        <v>440</v>
      </c>
      <c r="F96" s="38" t="s">
        <v>441</v>
      </c>
      <c r="G96" s="38" t="str">
        <f t="shared" ref="G96:G101" si="11">SUBSTITUTE(D96," ",".")&amp;"@email.com"</f>
        <v>Jen.Keeosk@email.com</v>
      </c>
      <c r="H96" s="38" t="s">
        <v>417</v>
      </c>
      <c r="I96" s="38" t="s">
        <v>245</v>
      </c>
      <c r="J96" s="38" t="s">
        <v>267</v>
      </c>
      <c r="K96" s="38" t="s">
        <v>272</v>
      </c>
      <c r="L96" s="38">
        <v>3</v>
      </c>
      <c r="M96" s="27" t="s">
        <v>459</v>
      </c>
    </row>
    <row r="97" spans="1:13" ht="30" x14ac:dyDescent="0.25">
      <c r="A97" s="37" t="s">
        <v>433</v>
      </c>
      <c r="B97" s="38" t="s">
        <v>245</v>
      </c>
      <c r="C97" s="45" t="s">
        <v>316</v>
      </c>
      <c r="D97" s="38" t="s">
        <v>239</v>
      </c>
      <c r="E97" s="38" t="s">
        <v>442</v>
      </c>
      <c r="F97" s="38" t="s">
        <v>443</v>
      </c>
      <c r="G97" s="38" t="str">
        <f t="shared" si="11"/>
        <v>Jason.Anderson@email.com</v>
      </c>
      <c r="H97" s="38" t="s">
        <v>418</v>
      </c>
      <c r="I97" s="38" t="s">
        <v>245</v>
      </c>
      <c r="J97" s="38" t="s">
        <v>267</v>
      </c>
      <c r="K97" s="38" t="s">
        <v>273</v>
      </c>
      <c r="L97" s="38">
        <v>2</v>
      </c>
      <c r="M97" s="27" t="s">
        <v>459</v>
      </c>
    </row>
    <row r="98" spans="1:13" x14ac:dyDescent="0.25">
      <c r="A98" s="37" t="s">
        <v>434</v>
      </c>
      <c r="B98" s="38" t="s">
        <v>245</v>
      </c>
      <c r="C98" s="45" t="s">
        <v>317</v>
      </c>
      <c r="D98" s="38" t="s">
        <v>241</v>
      </c>
      <c r="E98" s="38" t="s">
        <v>444</v>
      </c>
      <c r="F98" s="38" t="s">
        <v>445</v>
      </c>
      <c r="G98" s="38" t="str">
        <f t="shared" si="11"/>
        <v>Jim.Bean@email.com</v>
      </c>
      <c r="H98" s="38" t="s">
        <v>419</v>
      </c>
      <c r="I98" s="38" t="s">
        <v>245</v>
      </c>
      <c r="J98" s="38" t="s">
        <v>267</v>
      </c>
      <c r="K98" s="38" t="s">
        <v>274</v>
      </c>
      <c r="L98" s="38">
        <v>4</v>
      </c>
      <c r="M98" s="27" t="s">
        <v>459</v>
      </c>
    </row>
    <row r="99" spans="1:13" x14ac:dyDescent="0.25">
      <c r="A99" s="37" t="s">
        <v>435</v>
      </c>
      <c r="B99" s="38" t="s">
        <v>245</v>
      </c>
      <c r="C99" s="45" t="s">
        <v>318</v>
      </c>
      <c r="D99" s="38" t="s">
        <v>242</v>
      </c>
      <c r="E99" s="38" t="s">
        <v>446</v>
      </c>
      <c r="F99" s="38" t="s">
        <v>447</v>
      </c>
      <c r="G99" s="38" t="str">
        <f t="shared" si="11"/>
        <v>Katie.John@email.com</v>
      </c>
      <c r="H99" s="38" t="s">
        <v>420</v>
      </c>
      <c r="I99" s="38" t="s">
        <v>245</v>
      </c>
      <c r="J99" s="38" t="s">
        <v>267</v>
      </c>
      <c r="K99" s="38" t="s">
        <v>275</v>
      </c>
      <c r="L99" s="38">
        <v>1</v>
      </c>
      <c r="M99" s="27" t="s">
        <v>459</v>
      </c>
    </row>
    <row r="100" spans="1:13" x14ac:dyDescent="0.25">
      <c r="A100" s="37" t="s">
        <v>436</v>
      </c>
      <c r="B100" s="38" t="s">
        <v>245</v>
      </c>
      <c r="C100" s="45" t="s">
        <v>319</v>
      </c>
      <c r="D100" s="38" t="s">
        <v>268</v>
      </c>
      <c r="E100" s="38" t="s">
        <v>448</v>
      </c>
      <c r="F100" s="38" t="s">
        <v>449</v>
      </c>
      <c r="G100" s="38" t="str">
        <f t="shared" si="11"/>
        <v>Sue.Bridges@email.com</v>
      </c>
      <c r="H100" s="38" t="s">
        <v>415</v>
      </c>
      <c r="I100" s="38" t="s">
        <v>245</v>
      </c>
      <c r="J100" s="38" t="s">
        <v>270</v>
      </c>
      <c r="K100" s="38" t="s">
        <v>276</v>
      </c>
      <c r="L100" s="38">
        <v>1</v>
      </c>
      <c r="M100" s="39" t="s">
        <v>456</v>
      </c>
    </row>
    <row r="101" spans="1:13" ht="15.75" thickBot="1" x14ac:dyDescent="0.3">
      <c r="A101" s="40" t="s">
        <v>437</v>
      </c>
      <c r="B101" s="41" t="s">
        <v>245</v>
      </c>
      <c r="C101" s="56" t="s">
        <v>320</v>
      </c>
      <c r="D101" s="41" t="s">
        <v>269</v>
      </c>
      <c r="E101" s="41" t="s">
        <v>450</v>
      </c>
      <c r="F101" s="41" t="s">
        <v>451</v>
      </c>
      <c r="G101" s="41" t="str">
        <f t="shared" si="11"/>
        <v>Alex.Towns@email.com</v>
      </c>
      <c r="H101" s="41" t="s">
        <v>414</v>
      </c>
      <c r="I101" s="41" t="s">
        <v>245</v>
      </c>
      <c r="J101" s="41" t="s">
        <v>270</v>
      </c>
      <c r="K101" s="41" t="s">
        <v>277</v>
      </c>
      <c r="L101" s="41">
        <v>2</v>
      </c>
      <c r="M101" s="42" t="s">
        <v>456</v>
      </c>
    </row>
  </sheetData>
  <phoneticPr fontId="6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Flat File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Eliott Murray</dc:creator>
  <cp:lastModifiedBy>Eliott Murray</cp:lastModifiedBy>
  <cp:lastPrinted>2025-10-19T14:46:11Z</cp:lastPrinted>
  <dcterms:created xsi:type="dcterms:W3CDTF">2025-10-19T13:14:55Z</dcterms:created>
  <dcterms:modified xsi:type="dcterms:W3CDTF">2025-10-19T21:34:00Z</dcterms:modified>
</cp:coreProperties>
</file>
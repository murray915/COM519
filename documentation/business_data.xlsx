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t File" sheetId="1" r:id="rId4"/>
    <sheet state="visible" name="1NF" sheetId="2" r:id="rId5"/>
    <sheet state="visible" name="2NF" sheetId="3" r:id="rId6"/>
    <sheet state="visible" name="3NF" sheetId="4" r:id="rId7"/>
  </sheets>
  <definedNames/>
  <calcPr/>
</workbook>
</file>

<file path=xl/sharedStrings.xml><?xml version="1.0" encoding="utf-8"?>
<sst xmlns="http://schemas.openxmlformats.org/spreadsheetml/2006/main" count="1450" uniqueCount="497">
  <si>
    <t>Online Car Repair</t>
  </si>
  <si>
    <t>FLAT FILE</t>
  </si>
  <si>
    <t>Customer Name</t>
  </si>
  <si>
    <t>Customer Address</t>
  </si>
  <si>
    <t>Customer Contact Details</t>
  </si>
  <si>
    <t>Garage Name</t>
  </si>
  <si>
    <t>Garage Address</t>
  </si>
  <si>
    <t>Garage Contact Details</t>
  </si>
  <si>
    <t>Mechanic Name</t>
  </si>
  <si>
    <t>Referral?</t>
  </si>
  <si>
    <t>Car Reg.</t>
  </si>
  <si>
    <t>Car Make/Model</t>
  </si>
  <si>
    <t>Package/Service</t>
  </si>
  <si>
    <t>Parts Consumed</t>
  </si>
  <si>
    <t>MOT Pass</t>
  </si>
  <si>
    <t>Date of Service/Package</t>
  </si>
  <si>
    <t>Followup Required?</t>
  </si>
  <si>
    <t>Payment Method</t>
  </si>
  <si>
    <r>
      <rPr>
        <rFont val="Aptos Narrow"/>
        <b/>
        <color theme="1"/>
        <sz val="14.0"/>
      </rPr>
      <t xml:space="preserve">Total Cost 
</t>
    </r>
    <r>
      <rPr>
        <rFont val="Aptos Narrow"/>
        <b/>
        <color theme="1"/>
        <sz val="12.0"/>
      </rPr>
      <t>(Net (VAT) : Gross)</t>
    </r>
  </si>
  <si>
    <t>Oliver Smith</t>
  </si>
  <si>
    <t>12 High Street, Cambridge, CB2 1TN</t>
  </si>
  <si>
    <t>oliver.smith@email.com / 07123 456789</t>
  </si>
  <si>
    <t>Greenway Auto Repairs</t>
  </si>
  <si>
    <t>14 Station Road, Milton Keynes, MK9 1BB</t>
  </si>
  <si>
    <t>contact@greenwayautorepairs.co.uk / 01908 123456 / Alex Soome</t>
  </si>
  <si>
    <t>Simon Lee</t>
  </si>
  <si>
    <t>Yes (Elite Motor Services)</t>
  </si>
  <si>
    <t>BK72 LXF</t>
  </si>
  <si>
    <t>Volkswagen Golf</t>
  </si>
  <si>
    <t>MOT/Service</t>
  </si>
  <si>
    <t>Engine Oil, Oil Filter, Air Filter, Brake Pads *4</t>
  </si>
  <si>
    <t>Pass</t>
  </si>
  <si>
    <t>No</t>
  </si>
  <si>
    <t>Card</t>
  </si>
  <si>
    <t>£180 (£36) : £216</t>
  </si>
  <si>
    <t>Amelia Jones</t>
  </si>
  <si>
    <t>Flat 4, 22 King’s Road, London, SW3 4RY</t>
  </si>
  <si>
    <t>amelia.jones@email.com / 07234 567890</t>
  </si>
  <si>
    <t>Parkside Vehicle Services</t>
  </si>
  <si>
    <t>Unit 3, Parkside Trading Estate, Leeds, LS11 5TP</t>
  </si>
  <si>
    <t>info@parksidevehicles.co.uk / 01132 345678 / Claire Yu</t>
  </si>
  <si>
    <t>Jen Keeosk</t>
  </si>
  <si>
    <t>MV21 RYD</t>
  </si>
  <si>
    <t>Volkswagen Polo</t>
  </si>
  <si>
    <t>Cooling Sys. Referb</t>
  </si>
  <si>
    <t>Cabin Air Filter, Wiper Blades *2, Coolant/Antifreeze</t>
  </si>
  <si>
    <t>N/A</t>
  </si>
  <si>
    <t>Yes</t>
  </si>
  <si>
    <t>Membership</t>
  </si>
  <si>
    <t>£80 (£16) : £96</t>
  </si>
  <si>
    <t>Jack Taylor</t>
  </si>
  <si>
    <t>78 Church Lane, Manchester, M20 6WE</t>
  </si>
  <si>
    <t>jack.taylor@email.com / 07345 678901</t>
  </si>
  <si>
    <t>LD70 ZKC</t>
  </si>
  <si>
    <t>Ford Fiesta</t>
  </si>
  <si>
    <t>Olivia Brown</t>
  </si>
  <si>
    <t>5 Rosewood Close, Birmingham, B15 2TH</t>
  </si>
  <si>
    <t>olivia.brown@email.com / 07456 789012</t>
  </si>
  <si>
    <t>contact@greenwayautorepairs.co.uk / 01908 123456 / Ted Grass</t>
  </si>
  <si>
    <t>HY68 MJO</t>
  </si>
  <si>
    <t>Nissan Qashqai</t>
  </si>
  <si>
    <t>Harry Wilson</t>
  </si>
  <si>
    <t>14 Market Street, Leeds, LS1 4HT</t>
  </si>
  <si>
    <t>harry.wilson@email.com / 07567 890123</t>
  </si>
  <si>
    <t>Jason Anderson</t>
  </si>
  <si>
    <t>CN19 TXE</t>
  </si>
  <si>
    <t>Interim Service</t>
  </si>
  <si>
    <t>Air Filter, Spark Plugs * 6, Fuel Filter</t>
  </si>
  <si>
    <t>£120 (£24) : £144</t>
  </si>
  <si>
    <t>Isla Thompson</t>
  </si>
  <si>
    <t>Apartment 3B, 10 Queen Street, Glasgow, G1 3DX</t>
  </si>
  <si>
    <t>isla.thompson@email.com / 07678 901234</t>
  </si>
  <si>
    <t>Riverside Garage &amp; MOT</t>
  </si>
  <si>
    <t>7 Riverside Drive, Cardiff, CF10 5AE</t>
  </si>
  <si>
    <t>service@riversidegaragemot.co.uk / 02920 987654 / Helen Carr</t>
  </si>
  <si>
    <t>Jim Bean</t>
  </si>
  <si>
    <t>WF73 BDU</t>
  </si>
  <si>
    <t>Mercedes-Benz C-Class</t>
  </si>
  <si>
    <t>Investigation/Service</t>
  </si>
  <si>
    <t>Oil Filter, Air Filter, Brake Pads *4, Brake Discs (Rotors) * 2, Spark Plugs * 6, Fuel Filter, Timing Belt/Chain</t>
  </si>
  <si>
    <t>£450 (£90) : £540</t>
  </si>
  <si>
    <t>Charlie Johnson</t>
  </si>
  <si>
    <t>56 Victoria Road, Bristol, BS3 5RW</t>
  </si>
  <si>
    <t>charlie.johnson@email.com / 07789 012345</t>
  </si>
  <si>
    <t>KS22 VNM</t>
  </si>
  <si>
    <t>Honda Civic</t>
  </si>
  <si>
    <t>Air Filter, Spark Plugs *6, Fuel Filter</t>
  </si>
  <si>
    <t>Cash</t>
  </si>
  <si>
    <t>Emily Walker</t>
  </si>
  <si>
    <t>7 Meadow Court, Nottingham, NG5 2BL</t>
  </si>
  <si>
    <t>emily.walker@email.com / 07890 123456</t>
  </si>
  <si>
    <t>GX71 HLE</t>
  </si>
  <si>
    <t>BMW 3 Series</t>
  </si>
  <si>
    <t>Engine Oil, Oil Filter, Air Filter, Brake Pads * 4, Wiper Blades *2, Coolant/Antifreeze</t>
  </si>
  <si>
    <t>£175 (£35) : £210</t>
  </si>
  <si>
    <t>George Evans</t>
  </si>
  <si>
    <t>21 Station Road, Liverpool, L1 2SR</t>
  </si>
  <si>
    <t>george.evans@email.com / 07901 234567</t>
  </si>
  <si>
    <t>RJ69 YTB</t>
  </si>
  <si>
    <t>Toyota Corolla</t>
  </si>
  <si>
    <t>Wiper Blades *2, Coolant/Antifreeze</t>
  </si>
  <si>
    <t>£85 (£17) : £102</t>
  </si>
  <si>
    <t>Ava Robinson</t>
  </si>
  <si>
    <t>33 Green Lane, Sheffield, S10 1AA</t>
  </si>
  <si>
    <t>ava.robinson@email.com / 07012 345678</t>
  </si>
  <si>
    <t>Elite Motor Services</t>
  </si>
  <si>
    <t>22A Kingsway Industrial Estate, Manchester, M19 1AQ</t>
  </si>
  <si>
    <t>hello@elitemotorservices.co.uk / 01612 234567 / Alex Elliot</t>
  </si>
  <si>
    <t>Katie John</t>
  </si>
  <si>
    <t>DA20 KZW</t>
  </si>
  <si>
    <t>£140 (£28) : £168</t>
  </si>
  <si>
    <t>1NF</t>
  </si>
  <si>
    <t>Customer Post Code</t>
  </si>
  <si>
    <t>Customer Email</t>
  </si>
  <si>
    <t>Customer Phone Number</t>
  </si>
  <si>
    <t>Garage Post Code</t>
  </si>
  <si>
    <t>Garage Email</t>
  </si>
  <si>
    <t>Garage Phone Number</t>
  </si>
  <si>
    <t>Staff Member</t>
  </si>
  <si>
    <t>Referral</t>
  </si>
  <si>
    <t>Referral From</t>
  </si>
  <si>
    <t>Car Make</t>
  </si>
  <si>
    <t>Car Model</t>
  </si>
  <si>
    <t>Total Cost (Net)</t>
  </si>
  <si>
    <t>Total Cost (VAT)</t>
  </si>
  <si>
    <t>Total Cost (Gross)</t>
  </si>
  <si>
    <t>12 High Street, Cambridge</t>
  </si>
  <si>
    <t>CB2 1TN</t>
  </si>
  <si>
    <t>oliver.smith@email.com</t>
  </si>
  <si>
    <t>07123 456789</t>
  </si>
  <si>
    <t xml:space="preserve">14 Station Road, Milton Keynes </t>
  </si>
  <si>
    <t>MK9 1BB</t>
  </si>
  <si>
    <t>contact@greenwayautorepairs.co.uk</t>
  </si>
  <si>
    <t>01908 123456</t>
  </si>
  <si>
    <t>Alex Soome</t>
  </si>
  <si>
    <t>Volkswagen</t>
  </si>
  <si>
    <t>Golf</t>
  </si>
  <si>
    <t>Flat 4, 22 King’s Road, London</t>
  </si>
  <si>
    <t>SW3 4RY</t>
  </si>
  <si>
    <t>amelia.jones@email.com</t>
  </si>
  <si>
    <t>07234 567890</t>
  </si>
  <si>
    <t>Unit 3, Parkside Trading Estate, Leeds</t>
  </si>
  <si>
    <t>LS11 5TP</t>
  </si>
  <si>
    <t>info@parksidevehicles.co.uk</t>
  </si>
  <si>
    <t>01132 345678</t>
  </si>
  <si>
    <t>Claire Yu</t>
  </si>
  <si>
    <t>Polo</t>
  </si>
  <si>
    <t>78 Church Lane, Manchester</t>
  </si>
  <si>
    <t>M20 6WE</t>
  </si>
  <si>
    <t>jack.taylor@email.com</t>
  </si>
  <si>
    <t>07345 678901</t>
  </si>
  <si>
    <t>Ford</t>
  </si>
  <si>
    <t>Fiesta</t>
  </si>
  <si>
    <t>5 Rosewood Close, Birmingham</t>
  </si>
  <si>
    <t>B15 2TH</t>
  </si>
  <si>
    <t>olivia.brown@email.com</t>
  </si>
  <si>
    <t>07456 789012</t>
  </si>
  <si>
    <t>14 Station Road, Milton Keynes</t>
  </si>
  <si>
    <t>Ted Grass</t>
  </si>
  <si>
    <t>Nissan</t>
  </si>
  <si>
    <t>Qashqai</t>
  </si>
  <si>
    <t>14 Market Street, Leeds</t>
  </si>
  <si>
    <t>LS1 4HT</t>
  </si>
  <si>
    <t>harry.wilson@email.com</t>
  </si>
  <si>
    <t>07567 890123</t>
  </si>
  <si>
    <t>Apartment 3B, 10 Queen Street, Glasgow</t>
  </si>
  <si>
    <t>G1 3DX</t>
  </si>
  <si>
    <t>isla.thompson@email.com</t>
  </si>
  <si>
    <t>07678 901234</t>
  </si>
  <si>
    <t>7 Riverside Drive, Cardiff</t>
  </si>
  <si>
    <t>CF10 5AE</t>
  </si>
  <si>
    <t>service@riversidegaragemot.co.uk</t>
  </si>
  <si>
    <t>02920 987654</t>
  </si>
  <si>
    <t>Helen Carr</t>
  </si>
  <si>
    <t>Mercedes-Benz</t>
  </si>
  <si>
    <t>C-Class</t>
  </si>
  <si>
    <t>56 Victoria Road, Bristol</t>
  </si>
  <si>
    <t>BS3 5RW</t>
  </si>
  <si>
    <t>charlie.johnson@email.com</t>
  </si>
  <si>
    <t>07789 012345</t>
  </si>
  <si>
    <t>Honda</t>
  </si>
  <si>
    <t>Civic</t>
  </si>
  <si>
    <t>7 Meadow Court, Nottingham</t>
  </si>
  <si>
    <t>NG5 2BL</t>
  </si>
  <si>
    <t>emily.walker@email.com</t>
  </si>
  <si>
    <t>07890 123456</t>
  </si>
  <si>
    <t>BMW</t>
  </si>
  <si>
    <t>3 Series</t>
  </si>
  <si>
    <t>21 Station Road, Liverpool</t>
  </si>
  <si>
    <t>L1 2SR</t>
  </si>
  <si>
    <t>george.evans@email.com</t>
  </si>
  <si>
    <t>07901 234567</t>
  </si>
  <si>
    <t>Toyota</t>
  </si>
  <si>
    <t>Corolla</t>
  </si>
  <si>
    <t>33 Green Lane, Sheffield</t>
  </si>
  <si>
    <t>S10 1AA</t>
  </si>
  <si>
    <t>ava.robinson@email.com</t>
  </si>
  <si>
    <t>07012 345678</t>
  </si>
  <si>
    <t>22A Kingsway Industrial Estate, Manchester</t>
  </si>
  <si>
    <t>M19 1AQ</t>
  </si>
  <si>
    <t>hello@elitemotorservices.co.uk</t>
  </si>
  <si>
    <t>01612 234567</t>
  </si>
  <si>
    <t>Alex Elliot</t>
  </si>
  <si>
    <t>2NF</t>
  </si>
  <si>
    <t>Customer Table</t>
  </si>
  <si>
    <t>Garage Table</t>
  </si>
  <si>
    <t>ID</t>
  </si>
  <si>
    <t>Name</t>
  </si>
  <si>
    <t>Garage ID</t>
  </si>
  <si>
    <t>Contact Staff Member</t>
  </si>
  <si>
    <t>Transaction Table</t>
  </si>
  <si>
    <t>Customer ID</t>
  </si>
  <si>
    <r>
      <rPr>
        <rFont val="Aptos Narrow"/>
        <b/>
        <color theme="1"/>
        <sz val="14.0"/>
      </rPr>
      <t xml:space="preserve">Referral From
</t>
    </r>
    <r>
      <rPr>
        <rFont val="Aptos Narrow"/>
        <b/>
        <i/>
        <color theme="1"/>
        <sz val="14.0"/>
      </rPr>
      <t>(Garage ID)</t>
    </r>
  </si>
  <si>
    <t>3NF</t>
  </si>
  <si>
    <t>Customer Vehicle table</t>
  </si>
  <si>
    <t>MOT Stauts</t>
  </si>
  <si>
    <t>CUSVEH-01</t>
  </si>
  <si>
    <t>CUS-01</t>
  </si>
  <si>
    <t>GRDG-01</t>
  </si>
  <si>
    <t>PST-18</t>
  </si>
  <si>
    <t>CUSVEH-02</t>
  </si>
  <si>
    <t>CUS-02</t>
  </si>
  <si>
    <t>GRDG-02</t>
  </si>
  <si>
    <t>PST-19</t>
  </si>
  <si>
    <t>CUSVEH-03</t>
  </si>
  <si>
    <t>CUS-03</t>
  </si>
  <si>
    <t>GRDG-03</t>
  </si>
  <si>
    <t>PST-20</t>
  </si>
  <si>
    <t>CUSVEH-04</t>
  </si>
  <si>
    <t>CUS-04</t>
  </si>
  <si>
    <t>GRDG-04</t>
  </si>
  <si>
    <t>PST-21</t>
  </si>
  <si>
    <t>CUSVEH-05</t>
  </si>
  <si>
    <t>CUS-05</t>
  </si>
  <si>
    <t>CUSVEH-06</t>
  </si>
  <si>
    <t>CUS-06</t>
  </si>
  <si>
    <t>CUSVEH-07</t>
  </si>
  <si>
    <t>CUS-07</t>
  </si>
  <si>
    <t>CUSVEH-08</t>
  </si>
  <si>
    <t>CUS-08</t>
  </si>
  <si>
    <t>CUSVEH-09</t>
  </si>
  <si>
    <t>CUS-09</t>
  </si>
  <si>
    <t>CUSVEH-10</t>
  </si>
  <si>
    <t>CUS-10</t>
  </si>
  <si>
    <t>Bookings Table</t>
  </si>
  <si>
    <t>Mechanic ID</t>
  </si>
  <si>
    <t>Customer Vehicale ID</t>
  </si>
  <si>
    <r>
      <rPr>
        <rFont val="Aptos Narrow"/>
        <b/>
        <color theme="1"/>
        <sz val="14.0"/>
      </rPr>
      <t xml:space="preserve">Referral From
</t>
    </r>
    <r>
      <rPr>
        <rFont val="Aptos Narrow"/>
        <b/>
        <i/>
        <color theme="1"/>
        <sz val="14.0"/>
      </rPr>
      <t>(Garage ID)</t>
    </r>
  </si>
  <si>
    <t>Paid</t>
  </si>
  <si>
    <t>BK-01</t>
  </si>
  <si>
    <t>MEC-01</t>
  </si>
  <si>
    <t>"Garage referal from Elite Motor Services"</t>
  </si>
  <si>
    <t>PCK-001</t>
  </si>
  <si>
    <t>BK-02</t>
  </si>
  <si>
    <t>MEC-02</t>
  </si>
  <si>
    <t>"Online"</t>
  </si>
  <si>
    <t>PCK-002</t>
  </si>
  <si>
    <t>BK-03</t>
  </si>
  <si>
    <t>BK-04</t>
  </si>
  <si>
    <t>BK-05</t>
  </si>
  <si>
    <t>MEC-03</t>
  </si>
  <si>
    <t>PCK-003</t>
  </si>
  <si>
    <t>BK-06</t>
  </si>
  <si>
    <t>MEC-04</t>
  </si>
  <si>
    <t>PCK-004</t>
  </si>
  <si>
    <t>BK-07</t>
  </si>
  <si>
    <t>BK-08</t>
  </si>
  <si>
    <t>BK-09</t>
  </si>
  <si>
    <t>"Word of Mouth"</t>
  </si>
  <si>
    <t>BK-10</t>
  </si>
  <si>
    <t>MEC-05</t>
  </si>
  <si>
    <t>Stock Table</t>
  </si>
  <si>
    <t>Package/Service Table</t>
  </si>
  <si>
    <t>Transaction ID</t>
  </si>
  <si>
    <t>Booking ID</t>
  </si>
  <si>
    <t>Part Consumed</t>
  </si>
  <si>
    <t>QTY Consumed</t>
  </si>
  <si>
    <t>Part ID</t>
  </si>
  <si>
    <t>Car Part</t>
  </si>
  <si>
    <t>Description</t>
  </si>
  <si>
    <t>Common Repair Group</t>
  </si>
  <si>
    <t>Package</t>
  </si>
  <si>
    <t>Items Consumed</t>
  </si>
  <si>
    <t>TACT-01</t>
  </si>
  <si>
    <t>ITM-001</t>
  </si>
  <si>
    <t>Engine Oil</t>
  </si>
  <si>
    <t>Lubricates engine components</t>
  </si>
  <si>
    <t>Oil change, regular servicing</t>
  </si>
  <si>
    <t>MOT and Full Service</t>
  </si>
  <si>
    <t>[ITM-001,ITM-002,ITM-003]</t>
  </si>
  <si>
    <t>TACT-02</t>
  </si>
  <si>
    <t>ITM-002</t>
  </si>
  <si>
    <t>Oil Filter</t>
  </si>
  <si>
    <t>Filters contaminants from engine oil</t>
  </si>
  <si>
    <t>Oil change</t>
  </si>
  <si>
    <t>Cooling system check and referbish</t>
  </si>
  <si>
    <t>[ITM-009,ITM-010,ITM-011]</t>
  </si>
  <si>
    <t>TACT-03</t>
  </si>
  <si>
    <t>ITM-003</t>
  </si>
  <si>
    <t>Air Filter</t>
  </si>
  <si>
    <t>Filters air entering the engine</t>
  </si>
  <si>
    <t>Engine tune-up, annual service</t>
  </si>
  <si>
    <t>[ITM-003,ITM-006,ITM-007]</t>
  </si>
  <si>
    <t>TACT-04</t>
  </si>
  <si>
    <t>ITM-004</t>
  </si>
  <si>
    <t>Brake Pads</t>
  </si>
  <si>
    <t>Provides friction for braking</t>
  </si>
  <si>
    <t>Brake repair or replacement</t>
  </si>
  <si>
    <t>Full review of vehicle, with feedback from customer</t>
  </si>
  <si>
    <t>TACT-05</t>
  </si>
  <si>
    <t>ITM-009</t>
  </si>
  <si>
    <t>ITM-005</t>
  </si>
  <si>
    <t>Brake Discs (Rotors)</t>
  </si>
  <si>
    <t>Rotating surface for brake pads to clamp</t>
  </si>
  <si>
    <t>Brake system overhaul</t>
  </si>
  <si>
    <t>TACT-06</t>
  </si>
  <si>
    <t>ITM-010</t>
  </si>
  <si>
    <t>ITM-006</t>
  </si>
  <si>
    <t>Spark Plugs</t>
  </si>
  <si>
    <t>Ignites fuel-air mixture in engine cylinders</t>
  </si>
  <si>
    <t>Engine misfires, tune-up</t>
  </si>
  <si>
    <t>TACT-07</t>
  </si>
  <si>
    <t>ITM-011</t>
  </si>
  <si>
    <t>ITM-007</t>
  </si>
  <si>
    <t>Fuel Filter</t>
  </si>
  <si>
    <t>Filters impurities from fuel</t>
  </si>
  <si>
    <t>Fuel system maintenance</t>
  </si>
  <si>
    <t>TACT-08</t>
  </si>
  <si>
    <t>ITM-008</t>
  </si>
  <si>
    <t>Timing Belt/Chain</t>
  </si>
  <si>
    <t>Synchronises engine timing</t>
  </si>
  <si>
    <t>Engine service (at specific mileage)</t>
  </si>
  <si>
    <t>Membership Table</t>
  </si>
  <si>
    <t>TACT-09</t>
  </si>
  <si>
    <t>Cabin Air Filter</t>
  </si>
  <si>
    <t>Filters air inside the car cabin</t>
  </si>
  <si>
    <t>HVAC maintenance</t>
  </si>
  <si>
    <t>TACT-10</t>
  </si>
  <si>
    <t>Wiper Blades</t>
  </si>
  <si>
    <t>Clears rain from windscreen</t>
  </si>
  <si>
    <t>Seasonal maintenance</t>
  </si>
  <si>
    <t>Membership ID</t>
  </si>
  <si>
    <t>Customer_id</t>
  </si>
  <si>
    <t>Monthly Subscription Payment (Day)</t>
  </si>
  <si>
    <t>Payment_Method</t>
  </si>
  <si>
    <t>Iban</t>
  </si>
  <si>
    <t>TACT-11</t>
  </si>
  <si>
    <t>Coolant/Antifreeze</t>
  </si>
  <si>
    <t>Regulates engine temperature</t>
  </si>
  <si>
    <t>Cooling system flush</t>
  </si>
  <si>
    <t>MEM-001</t>
  </si>
  <si>
    <t>GB00 HBUK 4012 3456 7890 12</t>
  </si>
  <si>
    <t>TACT-12</t>
  </si>
  <si>
    <t>ITM-012</t>
  </si>
  <si>
    <t>Transmission Fluid</t>
  </si>
  <si>
    <t>Lubricates and cools transmission components</t>
  </si>
  <si>
    <t>Transmission service</t>
  </si>
  <si>
    <t>MEM-002</t>
  </si>
  <si>
    <t>GB29 NWBK 6016 1331 9268 19</t>
  </si>
  <si>
    <t>TACT-13</t>
  </si>
  <si>
    <t>ITM-013</t>
  </si>
  <si>
    <t>Battery</t>
  </si>
  <si>
    <t>Powers the car's electrical system</t>
  </si>
  <si>
    <t>Battery replacement</t>
  </si>
  <si>
    <t>MEM-003</t>
  </si>
  <si>
    <t>GB82 WEST 1234 5698 7654 32</t>
  </si>
  <si>
    <t>TACT-14</t>
  </si>
  <si>
    <t>ITM-014</t>
  </si>
  <si>
    <t>Tyres</t>
  </si>
  <si>
    <t>Provides traction and supports the car’s weight</t>
  </si>
  <si>
    <t>Tyre replacement or rotation</t>
  </si>
  <si>
    <t>TACT-15</t>
  </si>
  <si>
    <t>ITM-015</t>
  </si>
  <si>
    <t>Headlight Bulbs</t>
  </si>
  <si>
    <t>Provides front illumination</t>
  </si>
  <si>
    <t>Bulb replacement</t>
  </si>
  <si>
    <t>TACT-16</t>
  </si>
  <si>
    <t>TACT-17</t>
  </si>
  <si>
    <t>TACT-18</t>
  </si>
  <si>
    <t>Post_codes</t>
  </si>
  <si>
    <t>Customer Ids</t>
  </si>
  <si>
    <t>TACT-19</t>
  </si>
  <si>
    <t>Access_codes</t>
  </si>
  <si>
    <t>TACT-20</t>
  </si>
  <si>
    <t>Post_code_id</t>
  </si>
  <si>
    <t>Post_code</t>
  </si>
  <si>
    <t>User ID</t>
  </si>
  <si>
    <t>TACT-21</t>
  </si>
  <si>
    <t>Access_code</t>
  </si>
  <si>
    <t>PST-01</t>
  </si>
  <si>
    <t>USR-01</t>
  </si>
  <si>
    <t>TACT-22</t>
  </si>
  <si>
    <t>ADMIN</t>
  </si>
  <si>
    <t>Administrator</t>
  </si>
  <si>
    <t>PST-02</t>
  </si>
  <si>
    <t>USR-02</t>
  </si>
  <si>
    <t>TACT-23</t>
  </si>
  <si>
    <t>CUS_USR</t>
  </si>
  <si>
    <t>Customer Login basic</t>
  </si>
  <si>
    <t>PST-03</t>
  </si>
  <si>
    <t>USR-03</t>
  </si>
  <si>
    <t>TACT-24</t>
  </si>
  <si>
    <t>CUS_USR_MEM</t>
  </si>
  <si>
    <t>Customer Login Membership</t>
  </si>
  <si>
    <t>PST-04</t>
  </si>
  <si>
    <t>USR-04</t>
  </si>
  <si>
    <t>TACT-25</t>
  </si>
  <si>
    <t>STF_USR</t>
  </si>
  <si>
    <t>Staff Login</t>
  </si>
  <si>
    <t>PST-05</t>
  </si>
  <si>
    <t>USR-05</t>
  </si>
  <si>
    <t>TACT-26</t>
  </si>
  <si>
    <t>PST-06</t>
  </si>
  <si>
    <t>USR-06</t>
  </si>
  <si>
    <t>TACT-27</t>
  </si>
  <si>
    <t>PST-07</t>
  </si>
  <si>
    <t>USR-07</t>
  </si>
  <si>
    <t>TACT-28</t>
  </si>
  <si>
    <t>PST-08</t>
  </si>
  <si>
    <t>USR-08</t>
  </si>
  <si>
    <t>TACT-29</t>
  </si>
  <si>
    <t>PST-09</t>
  </si>
  <si>
    <t>USR-09</t>
  </si>
  <si>
    <t>TACT-30</t>
  </si>
  <si>
    <t>PST-10</t>
  </si>
  <si>
    <t>USR-10</t>
  </si>
  <si>
    <t>TACT-31</t>
  </si>
  <si>
    <t>PST-11</t>
  </si>
  <si>
    <t>NW1 6XE</t>
  </si>
  <si>
    <t>TACT-32</t>
  </si>
  <si>
    <t>PST-12</t>
  </si>
  <si>
    <t>M14 5GH</t>
  </si>
  <si>
    <t>TACT-33</t>
  </si>
  <si>
    <t>PST-13</t>
  </si>
  <si>
    <t>B15 2TT</t>
  </si>
  <si>
    <t>TACT-34</t>
  </si>
  <si>
    <t>PST-14</t>
  </si>
  <si>
    <t>LS6 2AB</t>
  </si>
  <si>
    <t>Staff Ids</t>
  </si>
  <si>
    <t>TACT-35</t>
  </si>
  <si>
    <t>PST-15</t>
  </si>
  <si>
    <t>EH1 2NG</t>
  </si>
  <si>
    <t>TACT-36</t>
  </si>
  <si>
    <t>PST-16</t>
  </si>
  <si>
    <t>BS8 3JD</t>
  </si>
  <si>
    <t>staff_id</t>
  </si>
  <si>
    <t>user_id</t>
  </si>
  <si>
    <t>TACT-37</t>
  </si>
  <si>
    <t>PST-17</t>
  </si>
  <si>
    <t>BN2 1RD</t>
  </si>
  <si>
    <t>STF-01</t>
  </si>
  <si>
    <t>USR-11</t>
  </si>
  <si>
    <t>STF-02</t>
  </si>
  <si>
    <t>USR-12</t>
  </si>
  <si>
    <t>STF-03</t>
  </si>
  <si>
    <t>USR-13</t>
  </si>
  <si>
    <t>STF-04</t>
  </si>
  <si>
    <t>USR-14</t>
  </si>
  <si>
    <t>STF-05</t>
  </si>
  <si>
    <t>USR-15</t>
  </si>
  <si>
    <t>STF-06</t>
  </si>
  <si>
    <t>USR-16</t>
  </si>
  <si>
    <t>User table</t>
  </si>
  <si>
    <t>STF-07</t>
  </si>
  <si>
    <t>USR-17</t>
  </si>
  <si>
    <t>User_id</t>
  </si>
  <si>
    <t>Staff_id</t>
  </si>
  <si>
    <t>Address</t>
  </si>
  <si>
    <t>Post Code</t>
  </si>
  <si>
    <t>Email</t>
  </si>
  <si>
    <t>Phone Number</t>
  </si>
  <si>
    <t>Staff Member Type</t>
  </si>
  <si>
    <t>Primary Garage</t>
  </si>
  <si>
    <t>Access_Code</t>
  </si>
  <si>
    <t>user_name</t>
  </si>
  <si>
    <t>password</t>
  </si>
  <si>
    <t>account_creation_date</t>
  </si>
  <si>
    <t>12 Baker Street</t>
  </si>
  <si>
    <t>07911 234567</t>
  </si>
  <si>
    <t>Mechanic</t>
  </si>
  <si>
    <t>45 Oakwood Drive</t>
  </si>
  <si>
    <t>07941 994567</t>
  </si>
  <si>
    <t>88 Kingsway Road</t>
  </si>
  <si>
    <t>07722 556688</t>
  </si>
  <si>
    <t>3 Rose Hill Crescent</t>
  </si>
  <si>
    <t>07400 123456</t>
  </si>
  <si>
    <t>101 Castle Street</t>
  </si>
  <si>
    <t>020 7946 0123</t>
  </si>
  <si>
    <t>Sue Bridges</t>
  </si>
  <si>
    <t>Flat 6, 22 The Avenue</t>
  </si>
  <si>
    <t>0121 496 0991</t>
  </si>
  <si>
    <t>Front Desk</t>
  </si>
  <si>
    <t>FRNT-01</t>
  </si>
  <si>
    <t>Alex Towns</t>
  </si>
  <si>
    <t>9 Seaview Terrace</t>
  </si>
  <si>
    <t>0131 225 5630</t>
  </si>
  <si>
    <t>FRNT-02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</si>
</sst>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"/>
  </numFmts>
  <fonts count="8">
    <font>
      <sz val="11.0"/>
      <color theme="1"/>
      <name val="Aptos Narrow"/>
      <scheme val="minor"/>
    </font>
    <font>
      <b/>
      <sz val="14.0"/>
      <color rgb="FFFF0000"/>
      <name val="Aptos Narrow"/>
    </font>
    <font>
      <b/>
      <sz val="14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b/>
      <sz val="14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3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4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Font="1"/>
    <xf borderId="0" fillId="0" fontId="4" numFmtId="15" xfId="0" applyAlignment="1" applyFont="1" applyNumberFormat="1">
      <alignment shrinkToFit="0" vertical="center" wrapText="1"/>
    </xf>
    <xf borderId="5" fillId="0" fontId="4" numFmtId="164" xfId="0" applyBorder="1" applyFont="1" applyNumberFormat="1"/>
    <xf borderId="6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shrinkToFit="0" vertical="center" wrapText="1"/>
    </xf>
    <xf borderId="7" fillId="0" fontId="4" numFmtId="0" xfId="0" applyBorder="1" applyFont="1"/>
    <xf borderId="7" fillId="0" fontId="4" numFmtId="15" xfId="0" applyAlignment="1" applyBorder="1" applyFont="1" applyNumberFormat="1">
      <alignment shrinkToFit="0" vertical="center" wrapText="1"/>
    </xf>
    <xf borderId="8" fillId="0" fontId="4" numFmtId="164" xfId="0" applyBorder="1" applyFont="1" applyNumberFormat="1"/>
    <xf borderId="0" fillId="0" fontId="4" numFmtId="164" xfId="0" applyFont="1" applyNumberFormat="1"/>
    <xf borderId="7" fillId="0" fontId="4" numFmtId="164" xfId="0" applyBorder="1" applyFont="1" applyNumberFormat="1"/>
    <xf borderId="1" fillId="2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shrinkToFit="0" vertical="center" wrapText="1"/>
    </xf>
    <xf borderId="4" fillId="0" fontId="4" numFmtId="0" xfId="0" applyBorder="1" applyFont="1"/>
    <xf borderId="6" fillId="0" fontId="4" numFmtId="0" xfId="0" applyBorder="1" applyFont="1"/>
    <xf borderId="8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8" fillId="0" fontId="4" numFmtId="15" xfId="0" applyAlignment="1" applyBorder="1" applyFont="1" applyNumberFormat="1">
      <alignment horizontal="center" shrinkToFit="0" vertical="center" wrapText="1"/>
    </xf>
    <xf borderId="0" fillId="0" fontId="4" numFmtId="15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/>
    </xf>
    <xf borderId="5" fillId="0" fontId="4" numFmtId="164" xfId="0" applyAlignment="1" applyBorder="1" applyFont="1" applyNumberFormat="1">
      <alignment horizontal="center"/>
    </xf>
    <xf borderId="7" fillId="0" fontId="4" numFmtId="15" xfId="0" applyAlignment="1" applyBorder="1" applyFont="1" applyNumberFormat="1">
      <alignment horizontal="center" shrinkToFit="0" vertical="center" wrapText="1"/>
    </xf>
    <xf borderId="7" fillId="0" fontId="4" numFmtId="164" xfId="0" applyAlignment="1" applyBorder="1" applyFont="1" applyNumberFormat="1">
      <alignment horizontal="center"/>
    </xf>
    <xf borderId="8" fillId="0" fontId="4" numFmtId="164" xfId="0" applyAlignment="1" applyBorder="1" applyFont="1" applyNumberFormat="1">
      <alignment horizontal="center"/>
    </xf>
    <xf borderId="5" fillId="0" fontId="4" numFmtId="0" xfId="0" applyAlignment="1" applyBorder="1" applyFont="1">
      <alignment horizontal="center"/>
    </xf>
    <xf borderId="12" fillId="2" fontId="2" numFmtId="0" xfId="0" applyAlignment="1" applyBorder="1" applyFont="1">
      <alignment horizontal="center" shrinkToFit="0" vertical="center" wrapText="1"/>
    </xf>
    <xf borderId="13" fillId="2" fontId="2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1" fillId="0" fontId="4" numFmtId="0" xfId="0" applyBorder="1" applyFont="1"/>
    <xf borderId="1" fillId="2" fontId="7" numFmtId="0" xfId="0" applyAlignment="1" applyBorder="1" applyFont="1">
      <alignment horizontal="center" readingOrder="0" vertical="center"/>
    </xf>
    <xf borderId="15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21" fillId="0" fontId="4" numFmtId="0" xfId="0" applyAlignment="1" applyBorder="1" applyFont="1">
      <alignment shrinkToFit="0" vertical="center" wrapText="1"/>
    </xf>
    <xf borderId="22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0.75"/>
    <col customWidth="1" min="3" max="3" width="38.75"/>
    <col customWidth="1" min="4" max="4" width="30.75"/>
    <col customWidth="1" min="5" max="5" width="42.13"/>
    <col customWidth="1" min="6" max="6" width="40.0"/>
    <col customWidth="1" min="7" max="7" width="25.63"/>
    <col customWidth="1" min="8" max="8" width="23.13"/>
    <col customWidth="1" min="9" max="12" width="30.75"/>
    <col customWidth="1" min="13" max="13" width="21.13"/>
    <col customWidth="1" min="14" max="17" width="30.75"/>
    <col customWidth="1" min="18" max="26" width="21.38"/>
  </cols>
  <sheetData>
    <row r="1" ht="14.25" customHeight="1">
      <c r="A1" s="1" t="s">
        <v>0</v>
      </c>
      <c r="B1" s="2"/>
      <c r="C1" s="3" t="s">
        <v>1</v>
      </c>
    </row>
    <row r="2" ht="14.25" customHeight="1"/>
    <row r="3" ht="14.25" customHeight="1"/>
    <row r="4" ht="46.5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6" t="s">
        <v>18</v>
      </c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8" t="s">
        <v>19</v>
      </c>
      <c r="B5" s="9" t="s">
        <v>20</v>
      </c>
      <c r="C5" s="9" t="s">
        <v>21</v>
      </c>
      <c r="D5" s="9" t="s">
        <v>22</v>
      </c>
      <c r="E5" s="9" t="s">
        <v>23</v>
      </c>
      <c r="F5" s="9" t="s">
        <v>24</v>
      </c>
      <c r="G5" s="9" t="s">
        <v>25</v>
      </c>
      <c r="H5" s="9" t="s">
        <v>26</v>
      </c>
      <c r="I5" s="9" t="s">
        <v>27</v>
      </c>
      <c r="J5" s="10" t="s">
        <v>28</v>
      </c>
      <c r="K5" s="9" t="s">
        <v>29</v>
      </c>
      <c r="L5" s="9" t="s">
        <v>30</v>
      </c>
      <c r="M5" s="9" t="s">
        <v>31</v>
      </c>
      <c r="N5" s="11">
        <v>45936.0</v>
      </c>
      <c r="O5" s="11" t="s">
        <v>32</v>
      </c>
      <c r="P5" s="11" t="s">
        <v>33</v>
      </c>
      <c r="Q5" s="12" t="s">
        <v>34</v>
      </c>
    </row>
    <row r="6" ht="14.25" customHeight="1">
      <c r="A6" s="8" t="s">
        <v>35</v>
      </c>
      <c r="B6" s="9" t="s">
        <v>36</v>
      </c>
      <c r="C6" s="9" t="s">
        <v>37</v>
      </c>
      <c r="D6" s="9" t="s">
        <v>38</v>
      </c>
      <c r="E6" s="9" t="s">
        <v>39</v>
      </c>
      <c r="F6" s="9" t="s">
        <v>40</v>
      </c>
      <c r="G6" s="9" t="s">
        <v>41</v>
      </c>
      <c r="H6" s="9" t="s">
        <v>32</v>
      </c>
      <c r="I6" s="9" t="s">
        <v>42</v>
      </c>
      <c r="J6" s="10" t="s">
        <v>43</v>
      </c>
      <c r="K6" s="9" t="s">
        <v>44</v>
      </c>
      <c r="L6" s="9" t="s">
        <v>45</v>
      </c>
      <c r="M6" s="9" t="s">
        <v>46</v>
      </c>
      <c r="N6" s="11">
        <v>45931.0</v>
      </c>
      <c r="O6" s="11" t="s">
        <v>47</v>
      </c>
      <c r="P6" s="11" t="s">
        <v>48</v>
      </c>
      <c r="Q6" s="12" t="s">
        <v>49</v>
      </c>
    </row>
    <row r="7" ht="14.25" customHeight="1">
      <c r="A7" s="8" t="s">
        <v>50</v>
      </c>
      <c r="B7" s="9" t="s">
        <v>51</v>
      </c>
      <c r="C7" s="9" t="s">
        <v>52</v>
      </c>
      <c r="D7" s="9" t="s">
        <v>38</v>
      </c>
      <c r="E7" s="9" t="s">
        <v>39</v>
      </c>
      <c r="F7" s="9" t="s">
        <v>40</v>
      </c>
      <c r="G7" s="9" t="s">
        <v>41</v>
      </c>
      <c r="H7" s="9" t="s">
        <v>32</v>
      </c>
      <c r="I7" s="9" t="s">
        <v>53</v>
      </c>
      <c r="J7" s="10" t="s">
        <v>54</v>
      </c>
      <c r="K7" s="9" t="s">
        <v>44</v>
      </c>
      <c r="L7" s="9" t="s">
        <v>45</v>
      </c>
      <c r="M7" s="9" t="s">
        <v>46</v>
      </c>
      <c r="N7" s="11">
        <v>45945.0</v>
      </c>
      <c r="O7" s="11" t="s">
        <v>32</v>
      </c>
      <c r="P7" s="11" t="s">
        <v>33</v>
      </c>
      <c r="Q7" s="12" t="s">
        <v>49</v>
      </c>
    </row>
    <row r="8" ht="14.25" customHeight="1">
      <c r="A8" s="8" t="s">
        <v>55</v>
      </c>
      <c r="B8" s="9" t="s">
        <v>56</v>
      </c>
      <c r="C8" s="9" t="s">
        <v>57</v>
      </c>
      <c r="D8" s="9" t="s">
        <v>22</v>
      </c>
      <c r="E8" s="9" t="s">
        <v>23</v>
      </c>
      <c r="F8" s="9" t="s">
        <v>58</v>
      </c>
      <c r="G8" s="9" t="s">
        <v>25</v>
      </c>
      <c r="H8" s="9" t="s">
        <v>32</v>
      </c>
      <c r="I8" s="9" t="s">
        <v>59</v>
      </c>
      <c r="J8" s="10" t="s">
        <v>60</v>
      </c>
      <c r="K8" s="9" t="s">
        <v>29</v>
      </c>
      <c r="L8" s="9" t="s">
        <v>30</v>
      </c>
      <c r="M8" s="9" t="s">
        <v>31</v>
      </c>
      <c r="N8" s="11">
        <v>45940.0</v>
      </c>
      <c r="O8" s="11" t="s">
        <v>32</v>
      </c>
      <c r="P8" s="11" t="s">
        <v>33</v>
      </c>
      <c r="Q8" s="12" t="s">
        <v>34</v>
      </c>
    </row>
    <row r="9" ht="14.25" customHeight="1">
      <c r="A9" s="8" t="s">
        <v>61</v>
      </c>
      <c r="B9" s="9" t="s">
        <v>62</v>
      </c>
      <c r="C9" s="9" t="s">
        <v>63</v>
      </c>
      <c r="D9" s="9" t="s">
        <v>22</v>
      </c>
      <c r="E9" s="9" t="s">
        <v>23</v>
      </c>
      <c r="F9" s="9" t="s">
        <v>58</v>
      </c>
      <c r="G9" s="9" t="s">
        <v>64</v>
      </c>
      <c r="H9" s="9" t="s">
        <v>32</v>
      </c>
      <c r="I9" s="9" t="s">
        <v>65</v>
      </c>
      <c r="J9" s="10" t="s">
        <v>54</v>
      </c>
      <c r="K9" s="9" t="s">
        <v>66</v>
      </c>
      <c r="L9" s="9" t="s">
        <v>67</v>
      </c>
      <c r="M9" s="9" t="s">
        <v>46</v>
      </c>
      <c r="N9" s="11">
        <v>45933.0</v>
      </c>
      <c r="O9" s="11" t="s">
        <v>32</v>
      </c>
      <c r="P9" s="11" t="s">
        <v>48</v>
      </c>
      <c r="Q9" s="12" t="s">
        <v>68</v>
      </c>
    </row>
    <row r="10" ht="14.25" customHeight="1">
      <c r="A10" s="8" t="s">
        <v>69</v>
      </c>
      <c r="B10" s="9" t="s">
        <v>70</v>
      </c>
      <c r="C10" s="9" t="s">
        <v>71</v>
      </c>
      <c r="D10" s="9" t="s">
        <v>72</v>
      </c>
      <c r="E10" s="9" t="s">
        <v>73</v>
      </c>
      <c r="F10" s="9" t="s">
        <v>74</v>
      </c>
      <c r="G10" s="9" t="s">
        <v>75</v>
      </c>
      <c r="H10" s="9" t="s">
        <v>32</v>
      </c>
      <c r="I10" s="9" t="s">
        <v>76</v>
      </c>
      <c r="J10" s="10" t="s">
        <v>77</v>
      </c>
      <c r="K10" s="9" t="s">
        <v>78</v>
      </c>
      <c r="L10" s="9" t="s">
        <v>79</v>
      </c>
      <c r="M10" s="9" t="s">
        <v>46</v>
      </c>
      <c r="N10" s="11">
        <v>45948.0</v>
      </c>
      <c r="O10" s="11" t="s">
        <v>32</v>
      </c>
      <c r="P10" s="11" t="s">
        <v>33</v>
      </c>
      <c r="Q10" s="12" t="s">
        <v>80</v>
      </c>
    </row>
    <row r="11" ht="14.25" customHeight="1">
      <c r="A11" s="8" t="s">
        <v>81</v>
      </c>
      <c r="B11" s="9" t="s">
        <v>82</v>
      </c>
      <c r="C11" s="9" t="s">
        <v>83</v>
      </c>
      <c r="D11" s="9" t="s">
        <v>22</v>
      </c>
      <c r="E11" s="9" t="s">
        <v>23</v>
      </c>
      <c r="F11" s="9" t="s">
        <v>24</v>
      </c>
      <c r="G11" s="9" t="s">
        <v>25</v>
      </c>
      <c r="H11" s="9" t="s">
        <v>26</v>
      </c>
      <c r="I11" s="9" t="s">
        <v>84</v>
      </c>
      <c r="J11" s="10" t="s">
        <v>85</v>
      </c>
      <c r="K11" s="9" t="s">
        <v>66</v>
      </c>
      <c r="L11" s="9" t="s">
        <v>86</v>
      </c>
      <c r="M11" s="9" t="s">
        <v>46</v>
      </c>
      <c r="N11" s="11">
        <v>45939.0</v>
      </c>
      <c r="O11" s="11" t="s">
        <v>32</v>
      </c>
      <c r="P11" s="11" t="s">
        <v>87</v>
      </c>
      <c r="Q11" s="12" t="s">
        <v>68</v>
      </c>
    </row>
    <row r="12" ht="14.25" customHeight="1">
      <c r="A12" s="8" t="s">
        <v>88</v>
      </c>
      <c r="B12" s="9" t="s">
        <v>89</v>
      </c>
      <c r="C12" s="9" t="s">
        <v>90</v>
      </c>
      <c r="D12" s="9" t="s">
        <v>72</v>
      </c>
      <c r="E12" s="9" t="s">
        <v>73</v>
      </c>
      <c r="F12" s="9" t="s">
        <v>74</v>
      </c>
      <c r="G12" s="9" t="s">
        <v>75</v>
      </c>
      <c r="H12" s="9" t="s">
        <v>32</v>
      </c>
      <c r="I12" s="9" t="s">
        <v>91</v>
      </c>
      <c r="J12" s="10" t="s">
        <v>92</v>
      </c>
      <c r="K12" s="9" t="s">
        <v>29</v>
      </c>
      <c r="L12" s="9" t="s">
        <v>93</v>
      </c>
      <c r="M12" s="9" t="s">
        <v>31</v>
      </c>
      <c r="N12" s="11">
        <v>45943.0</v>
      </c>
      <c r="O12" s="11" t="s">
        <v>32</v>
      </c>
      <c r="P12" s="11" t="s">
        <v>87</v>
      </c>
      <c r="Q12" s="12" t="s">
        <v>94</v>
      </c>
    </row>
    <row r="13" ht="14.25" customHeight="1">
      <c r="A13" s="8" t="s">
        <v>95</v>
      </c>
      <c r="B13" s="9" t="s">
        <v>96</v>
      </c>
      <c r="C13" s="9" t="s">
        <v>97</v>
      </c>
      <c r="D13" s="9" t="s">
        <v>22</v>
      </c>
      <c r="E13" s="9" t="s">
        <v>23</v>
      </c>
      <c r="F13" s="9" t="s">
        <v>58</v>
      </c>
      <c r="G13" s="9" t="s">
        <v>64</v>
      </c>
      <c r="H13" s="9" t="s">
        <v>32</v>
      </c>
      <c r="I13" s="9" t="s">
        <v>98</v>
      </c>
      <c r="J13" s="10" t="s">
        <v>99</v>
      </c>
      <c r="K13" s="9" t="s">
        <v>78</v>
      </c>
      <c r="L13" s="9" t="s">
        <v>100</v>
      </c>
      <c r="M13" s="9" t="s">
        <v>46</v>
      </c>
      <c r="N13" s="11">
        <v>45928.0</v>
      </c>
      <c r="O13" s="11" t="s">
        <v>47</v>
      </c>
      <c r="P13" s="11" t="s">
        <v>33</v>
      </c>
      <c r="Q13" s="12" t="s">
        <v>101</v>
      </c>
    </row>
    <row r="14" ht="14.25" customHeight="1">
      <c r="A14" s="13" t="s">
        <v>102</v>
      </c>
      <c r="B14" s="14" t="s">
        <v>103</v>
      </c>
      <c r="C14" s="14" t="s">
        <v>104</v>
      </c>
      <c r="D14" s="14" t="s">
        <v>105</v>
      </c>
      <c r="E14" s="14" t="s">
        <v>106</v>
      </c>
      <c r="F14" s="14" t="s">
        <v>107</v>
      </c>
      <c r="G14" s="14" t="s">
        <v>108</v>
      </c>
      <c r="H14" s="14" t="s">
        <v>32</v>
      </c>
      <c r="I14" s="14" t="s">
        <v>109</v>
      </c>
      <c r="J14" s="15" t="s">
        <v>85</v>
      </c>
      <c r="K14" s="14" t="s">
        <v>66</v>
      </c>
      <c r="L14" s="14" t="s">
        <v>67</v>
      </c>
      <c r="M14" s="16" t="s">
        <v>46</v>
      </c>
      <c r="N14" s="16">
        <v>45946.0</v>
      </c>
      <c r="O14" s="16" t="s">
        <v>32</v>
      </c>
      <c r="P14" s="16" t="s">
        <v>48</v>
      </c>
      <c r="Q14" s="17" t="s">
        <v>110</v>
      </c>
    </row>
    <row r="15" ht="14.25" customHeight="1">
      <c r="H15" s="9"/>
      <c r="N15" s="9"/>
      <c r="O15" s="11"/>
      <c r="P15" s="11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30.38"/>
    <col customWidth="1" min="3" max="3" width="21.75"/>
    <col customWidth="1" min="4" max="4" width="32.25"/>
    <col customWidth="1" min="5" max="5" width="25.13"/>
    <col customWidth="1" min="6" max="6" width="30.63"/>
    <col customWidth="1" min="7" max="7" width="36.25"/>
    <col customWidth="1" min="8" max="9" width="21.38"/>
    <col customWidth="1" min="10" max="10" width="38.63"/>
    <col customWidth="1" min="11" max="11" width="25.63"/>
    <col customWidth="1" min="12" max="16" width="21.38"/>
    <col customWidth="1" min="17" max="17" width="25.13"/>
    <col customWidth="1" min="18" max="18" width="27.13"/>
    <col customWidth="1" min="19" max="19" width="39.75"/>
    <col customWidth="1" min="20" max="21" width="33.63"/>
    <col customWidth="1" min="22" max="26" width="21.38"/>
  </cols>
  <sheetData>
    <row r="1" ht="14.25" customHeight="1">
      <c r="A1" s="1" t="s">
        <v>0</v>
      </c>
      <c r="B1" s="2"/>
      <c r="C1" s="3" t="s">
        <v>111</v>
      </c>
    </row>
    <row r="2" ht="14.25" customHeight="1"/>
    <row r="3" ht="14.25" customHeight="1"/>
    <row r="4" ht="46.5" customHeight="1">
      <c r="A4" s="4" t="s">
        <v>2</v>
      </c>
      <c r="B4" s="5" t="s">
        <v>3</v>
      </c>
      <c r="C4" s="5" t="s">
        <v>112</v>
      </c>
      <c r="D4" s="5" t="s">
        <v>113</v>
      </c>
      <c r="E4" s="5" t="s">
        <v>114</v>
      </c>
      <c r="F4" s="5" t="s">
        <v>5</v>
      </c>
      <c r="G4" s="5" t="s">
        <v>6</v>
      </c>
      <c r="H4" s="5" t="s">
        <v>8</v>
      </c>
      <c r="I4" s="5" t="s">
        <v>115</v>
      </c>
      <c r="J4" s="5" t="s">
        <v>116</v>
      </c>
      <c r="K4" s="5" t="s">
        <v>117</v>
      </c>
      <c r="L4" s="5" t="s">
        <v>118</v>
      </c>
      <c r="M4" s="5" t="s">
        <v>119</v>
      </c>
      <c r="N4" s="5" t="s">
        <v>120</v>
      </c>
      <c r="O4" s="5" t="s">
        <v>10</v>
      </c>
      <c r="P4" s="5" t="s">
        <v>121</v>
      </c>
      <c r="Q4" s="5" t="s">
        <v>122</v>
      </c>
      <c r="R4" s="5" t="s">
        <v>12</v>
      </c>
      <c r="S4" s="5" t="s">
        <v>13</v>
      </c>
      <c r="T4" s="5" t="s">
        <v>14</v>
      </c>
      <c r="U4" s="5" t="s">
        <v>15</v>
      </c>
      <c r="V4" s="5" t="s">
        <v>16</v>
      </c>
      <c r="W4" s="5" t="s">
        <v>17</v>
      </c>
      <c r="X4" s="5" t="s">
        <v>123</v>
      </c>
      <c r="Y4" s="5" t="s">
        <v>124</v>
      </c>
      <c r="Z4" s="6" t="s">
        <v>125</v>
      </c>
    </row>
    <row r="5" ht="14.25" customHeight="1">
      <c r="A5" s="8" t="s">
        <v>19</v>
      </c>
      <c r="B5" s="9" t="s">
        <v>126</v>
      </c>
      <c r="C5" s="9" t="s">
        <v>127</v>
      </c>
      <c r="D5" s="9" t="s">
        <v>128</v>
      </c>
      <c r="E5" s="9" t="s">
        <v>129</v>
      </c>
      <c r="F5" s="9" t="s">
        <v>22</v>
      </c>
      <c r="G5" s="9" t="s">
        <v>130</v>
      </c>
      <c r="H5" s="9" t="s">
        <v>25</v>
      </c>
      <c r="I5" s="9" t="s">
        <v>131</v>
      </c>
      <c r="J5" s="9" t="s">
        <v>132</v>
      </c>
      <c r="K5" s="9" t="s">
        <v>133</v>
      </c>
      <c r="L5" s="9" t="s">
        <v>134</v>
      </c>
      <c r="M5" s="9" t="s">
        <v>47</v>
      </c>
      <c r="N5" s="9" t="s">
        <v>105</v>
      </c>
      <c r="O5" s="9" t="s">
        <v>27</v>
      </c>
      <c r="P5" s="9" t="s">
        <v>135</v>
      </c>
      <c r="Q5" s="10" t="s">
        <v>136</v>
      </c>
      <c r="R5" s="9" t="s">
        <v>29</v>
      </c>
      <c r="S5" s="9" t="s">
        <v>30</v>
      </c>
      <c r="T5" s="9" t="s">
        <v>31</v>
      </c>
      <c r="U5" s="11">
        <v>45936.0</v>
      </c>
      <c r="V5" s="11" t="s">
        <v>32</v>
      </c>
      <c r="W5" s="11" t="s">
        <v>33</v>
      </c>
      <c r="X5" s="18">
        <v>180.0</v>
      </c>
      <c r="Y5" s="18">
        <f t="shared" ref="Y5:Y14" si="1">X5*0.2</f>
        <v>36</v>
      </c>
      <c r="Z5" s="12">
        <f t="shared" ref="Z5:Z14" si="2">X5+Y5</f>
        <v>216</v>
      </c>
    </row>
    <row r="6" ht="14.25" customHeight="1">
      <c r="A6" s="8" t="s">
        <v>35</v>
      </c>
      <c r="B6" s="9" t="s">
        <v>137</v>
      </c>
      <c r="C6" s="9" t="s">
        <v>138</v>
      </c>
      <c r="D6" s="9" t="s">
        <v>139</v>
      </c>
      <c r="E6" s="9" t="s">
        <v>140</v>
      </c>
      <c r="F6" s="9" t="s">
        <v>38</v>
      </c>
      <c r="G6" s="9" t="s">
        <v>141</v>
      </c>
      <c r="H6" s="9" t="s">
        <v>41</v>
      </c>
      <c r="I6" s="9" t="s">
        <v>142</v>
      </c>
      <c r="J6" s="9" t="s">
        <v>143</v>
      </c>
      <c r="K6" s="9" t="s">
        <v>144</v>
      </c>
      <c r="L6" s="9" t="s">
        <v>145</v>
      </c>
      <c r="M6" s="9" t="s">
        <v>32</v>
      </c>
      <c r="N6" s="9" t="s">
        <v>46</v>
      </c>
      <c r="O6" s="9" t="s">
        <v>42</v>
      </c>
      <c r="P6" s="9" t="s">
        <v>135</v>
      </c>
      <c r="Q6" s="10" t="s">
        <v>146</v>
      </c>
      <c r="R6" s="9" t="s">
        <v>44</v>
      </c>
      <c r="S6" s="9" t="s">
        <v>45</v>
      </c>
      <c r="T6" s="9" t="s">
        <v>46</v>
      </c>
      <c r="U6" s="11">
        <v>45931.0</v>
      </c>
      <c r="V6" s="11" t="s">
        <v>47</v>
      </c>
      <c r="W6" s="11" t="s">
        <v>48</v>
      </c>
      <c r="X6" s="18">
        <v>80.0</v>
      </c>
      <c r="Y6" s="18">
        <f t="shared" si="1"/>
        <v>16</v>
      </c>
      <c r="Z6" s="12">
        <f t="shared" si="2"/>
        <v>96</v>
      </c>
    </row>
    <row r="7" ht="14.25" customHeight="1">
      <c r="A7" s="8" t="s">
        <v>50</v>
      </c>
      <c r="B7" s="9" t="s">
        <v>147</v>
      </c>
      <c r="C7" s="9" t="s">
        <v>148</v>
      </c>
      <c r="D7" s="9" t="s">
        <v>149</v>
      </c>
      <c r="E7" s="9" t="s">
        <v>150</v>
      </c>
      <c r="F7" s="9" t="s">
        <v>38</v>
      </c>
      <c r="G7" s="9" t="s">
        <v>141</v>
      </c>
      <c r="H7" s="9" t="s">
        <v>41</v>
      </c>
      <c r="I7" s="9" t="s">
        <v>142</v>
      </c>
      <c r="J7" s="9" t="s">
        <v>143</v>
      </c>
      <c r="K7" s="9" t="s">
        <v>144</v>
      </c>
      <c r="L7" s="9" t="s">
        <v>145</v>
      </c>
      <c r="M7" s="9" t="s">
        <v>32</v>
      </c>
      <c r="N7" s="9" t="s">
        <v>46</v>
      </c>
      <c r="O7" s="9" t="s">
        <v>53</v>
      </c>
      <c r="P7" s="9" t="s">
        <v>151</v>
      </c>
      <c r="Q7" s="10" t="s">
        <v>152</v>
      </c>
      <c r="R7" s="9" t="s">
        <v>44</v>
      </c>
      <c r="S7" s="9" t="s">
        <v>45</v>
      </c>
      <c r="T7" s="9" t="s">
        <v>46</v>
      </c>
      <c r="U7" s="11">
        <v>45945.0</v>
      </c>
      <c r="V7" s="11" t="s">
        <v>32</v>
      </c>
      <c r="W7" s="11" t="s">
        <v>33</v>
      </c>
      <c r="X7" s="18">
        <v>80.0</v>
      </c>
      <c r="Y7" s="18">
        <f t="shared" si="1"/>
        <v>16</v>
      </c>
      <c r="Z7" s="12">
        <f t="shared" si="2"/>
        <v>96</v>
      </c>
    </row>
    <row r="8" ht="14.25" customHeight="1">
      <c r="A8" s="8" t="s">
        <v>55</v>
      </c>
      <c r="B8" s="9" t="s">
        <v>153</v>
      </c>
      <c r="C8" s="9" t="s">
        <v>154</v>
      </c>
      <c r="D8" s="9" t="s">
        <v>155</v>
      </c>
      <c r="E8" s="9" t="s">
        <v>156</v>
      </c>
      <c r="F8" s="9" t="s">
        <v>22</v>
      </c>
      <c r="G8" s="9" t="s">
        <v>157</v>
      </c>
      <c r="H8" s="9" t="s">
        <v>25</v>
      </c>
      <c r="I8" s="9" t="s">
        <v>131</v>
      </c>
      <c r="J8" s="9" t="s">
        <v>132</v>
      </c>
      <c r="K8" s="9" t="s">
        <v>133</v>
      </c>
      <c r="L8" s="9" t="s">
        <v>158</v>
      </c>
      <c r="M8" s="9" t="s">
        <v>32</v>
      </c>
      <c r="N8" s="9" t="s">
        <v>46</v>
      </c>
      <c r="O8" s="9" t="s">
        <v>59</v>
      </c>
      <c r="P8" s="9" t="s">
        <v>159</v>
      </c>
      <c r="Q8" s="10" t="s">
        <v>160</v>
      </c>
      <c r="R8" s="9" t="s">
        <v>29</v>
      </c>
      <c r="S8" s="9" t="s">
        <v>30</v>
      </c>
      <c r="T8" s="9" t="s">
        <v>31</v>
      </c>
      <c r="U8" s="11">
        <v>45940.0</v>
      </c>
      <c r="V8" s="11" t="s">
        <v>32</v>
      </c>
      <c r="W8" s="11" t="s">
        <v>33</v>
      </c>
      <c r="X8" s="18">
        <v>180.0</v>
      </c>
      <c r="Y8" s="18">
        <f t="shared" si="1"/>
        <v>36</v>
      </c>
      <c r="Z8" s="12">
        <f t="shared" si="2"/>
        <v>216</v>
      </c>
    </row>
    <row r="9" ht="14.25" customHeight="1">
      <c r="A9" s="8" t="s">
        <v>61</v>
      </c>
      <c r="B9" s="9" t="s">
        <v>161</v>
      </c>
      <c r="C9" s="9" t="s">
        <v>162</v>
      </c>
      <c r="D9" s="9" t="s">
        <v>163</v>
      </c>
      <c r="E9" s="9" t="s">
        <v>164</v>
      </c>
      <c r="F9" s="9" t="s">
        <v>22</v>
      </c>
      <c r="G9" s="9" t="s">
        <v>157</v>
      </c>
      <c r="H9" s="9" t="s">
        <v>64</v>
      </c>
      <c r="I9" s="9" t="s">
        <v>131</v>
      </c>
      <c r="J9" s="9" t="s">
        <v>132</v>
      </c>
      <c r="K9" s="9" t="s">
        <v>133</v>
      </c>
      <c r="L9" s="9" t="s">
        <v>158</v>
      </c>
      <c r="M9" s="9" t="s">
        <v>32</v>
      </c>
      <c r="N9" s="9" t="s">
        <v>46</v>
      </c>
      <c r="O9" s="9" t="s">
        <v>65</v>
      </c>
      <c r="P9" s="9" t="s">
        <v>151</v>
      </c>
      <c r="Q9" s="10" t="s">
        <v>152</v>
      </c>
      <c r="R9" s="9" t="s">
        <v>66</v>
      </c>
      <c r="S9" s="9" t="s">
        <v>67</v>
      </c>
      <c r="T9" s="9" t="s">
        <v>46</v>
      </c>
      <c r="U9" s="11">
        <v>45933.0</v>
      </c>
      <c r="V9" s="11" t="s">
        <v>32</v>
      </c>
      <c r="W9" s="11" t="s">
        <v>48</v>
      </c>
      <c r="X9" s="18">
        <v>120.0</v>
      </c>
      <c r="Y9" s="18">
        <f t="shared" si="1"/>
        <v>24</v>
      </c>
      <c r="Z9" s="12">
        <f t="shared" si="2"/>
        <v>144</v>
      </c>
    </row>
    <row r="10" ht="14.25" customHeight="1">
      <c r="A10" s="8" t="s">
        <v>69</v>
      </c>
      <c r="B10" s="9" t="s">
        <v>165</v>
      </c>
      <c r="C10" s="9" t="s">
        <v>166</v>
      </c>
      <c r="D10" s="9" t="s">
        <v>167</v>
      </c>
      <c r="E10" s="9" t="s">
        <v>168</v>
      </c>
      <c r="F10" s="9" t="s">
        <v>72</v>
      </c>
      <c r="G10" s="9" t="s">
        <v>169</v>
      </c>
      <c r="H10" s="9" t="s">
        <v>75</v>
      </c>
      <c r="I10" s="9" t="s">
        <v>170</v>
      </c>
      <c r="J10" s="9" t="s">
        <v>171</v>
      </c>
      <c r="K10" s="9" t="s">
        <v>172</v>
      </c>
      <c r="L10" s="9" t="s">
        <v>173</v>
      </c>
      <c r="M10" s="9" t="s">
        <v>32</v>
      </c>
      <c r="N10" s="9" t="s">
        <v>46</v>
      </c>
      <c r="O10" s="9" t="s">
        <v>76</v>
      </c>
      <c r="P10" s="9" t="s">
        <v>174</v>
      </c>
      <c r="Q10" s="10" t="s">
        <v>175</v>
      </c>
      <c r="R10" s="9" t="s">
        <v>78</v>
      </c>
      <c r="S10" s="9" t="s">
        <v>79</v>
      </c>
      <c r="T10" s="9" t="s">
        <v>46</v>
      </c>
      <c r="U10" s="11">
        <v>45948.0</v>
      </c>
      <c r="V10" s="11" t="s">
        <v>32</v>
      </c>
      <c r="W10" s="11" t="s">
        <v>33</v>
      </c>
      <c r="X10" s="18">
        <v>450.0</v>
      </c>
      <c r="Y10" s="18">
        <f t="shared" si="1"/>
        <v>90</v>
      </c>
      <c r="Z10" s="12">
        <f t="shared" si="2"/>
        <v>540</v>
      </c>
    </row>
    <row r="11" ht="14.25" customHeight="1">
      <c r="A11" s="8" t="s">
        <v>81</v>
      </c>
      <c r="B11" s="9" t="s">
        <v>176</v>
      </c>
      <c r="C11" s="9" t="s">
        <v>177</v>
      </c>
      <c r="D11" s="9" t="s">
        <v>178</v>
      </c>
      <c r="E11" s="9" t="s">
        <v>179</v>
      </c>
      <c r="F11" s="9" t="s">
        <v>22</v>
      </c>
      <c r="G11" s="9" t="s">
        <v>157</v>
      </c>
      <c r="H11" s="9" t="s">
        <v>25</v>
      </c>
      <c r="I11" s="9" t="s">
        <v>131</v>
      </c>
      <c r="J11" s="9" t="s">
        <v>132</v>
      </c>
      <c r="K11" s="9" t="s">
        <v>133</v>
      </c>
      <c r="L11" s="9" t="s">
        <v>134</v>
      </c>
      <c r="M11" s="9" t="s">
        <v>47</v>
      </c>
      <c r="N11" s="9" t="s">
        <v>105</v>
      </c>
      <c r="O11" s="9" t="s">
        <v>84</v>
      </c>
      <c r="P11" s="9" t="s">
        <v>180</v>
      </c>
      <c r="Q11" s="10" t="s">
        <v>181</v>
      </c>
      <c r="R11" s="9" t="s">
        <v>66</v>
      </c>
      <c r="S11" s="9" t="s">
        <v>86</v>
      </c>
      <c r="T11" s="9" t="s">
        <v>46</v>
      </c>
      <c r="U11" s="11">
        <v>45939.0</v>
      </c>
      <c r="V11" s="11" t="s">
        <v>32</v>
      </c>
      <c r="W11" s="11" t="s">
        <v>87</v>
      </c>
      <c r="X11" s="18">
        <v>120.0</v>
      </c>
      <c r="Y11" s="18">
        <f t="shared" si="1"/>
        <v>24</v>
      </c>
      <c r="Z11" s="12">
        <f t="shared" si="2"/>
        <v>144</v>
      </c>
    </row>
    <row r="12" ht="14.25" customHeight="1">
      <c r="A12" s="8" t="s">
        <v>88</v>
      </c>
      <c r="B12" s="9" t="s">
        <v>182</v>
      </c>
      <c r="C12" s="9" t="s">
        <v>183</v>
      </c>
      <c r="D12" s="9" t="s">
        <v>184</v>
      </c>
      <c r="E12" s="9" t="s">
        <v>185</v>
      </c>
      <c r="F12" s="9" t="s">
        <v>72</v>
      </c>
      <c r="G12" s="9" t="s">
        <v>169</v>
      </c>
      <c r="H12" s="9" t="s">
        <v>75</v>
      </c>
      <c r="I12" s="9" t="s">
        <v>170</v>
      </c>
      <c r="J12" s="9" t="s">
        <v>171</v>
      </c>
      <c r="K12" s="9" t="s">
        <v>172</v>
      </c>
      <c r="L12" s="9" t="s">
        <v>173</v>
      </c>
      <c r="M12" s="9" t="s">
        <v>32</v>
      </c>
      <c r="N12" s="9" t="s">
        <v>46</v>
      </c>
      <c r="O12" s="9" t="s">
        <v>91</v>
      </c>
      <c r="P12" s="9" t="s">
        <v>186</v>
      </c>
      <c r="Q12" s="10" t="s">
        <v>187</v>
      </c>
      <c r="R12" s="9" t="s">
        <v>29</v>
      </c>
      <c r="S12" s="9" t="s">
        <v>93</v>
      </c>
      <c r="T12" s="9" t="s">
        <v>31</v>
      </c>
      <c r="U12" s="11">
        <v>45943.0</v>
      </c>
      <c r="V12" s="11" t="s">
        <v>32</v>
      </c>
      <c r="W12" s="11" t="s">
        <v>87</v>
      </c>
      <c r="X12" s="18">
        <v>175.0</v>
      </c>
      <c r="Y12" s="18">
        <f t="shared" si="1"/>
        <v>35</v>
      </c>
      <c r="Z12" s="12">
        <f t="shared" si="2"/>
        <v>210</v>
      </c>
    </row>
    <row r="13" ht="14.25" customHeight="1">
      <c r="A13" s="8" t="s">
        <v>95</v>
      </c>
      <c r="B13" s="9" t="s">
        <v>188</v>
      </c>
      <c r="C13" s="9" t="s">
        <v>189</v>
      </c>
      <c r="D13" s="9" t="s">
        <v>190</v>
      </c>
      <c r="E13" s="9" t="s">
        <v>191</v>
      </c>
      <c r="F13" s="9" t="s">
        <v>22</v>
      </c>
      <c r="G13" s="9" t="s">
        <v>157</v>
      </c>
      <c r="H13" s="9" t="s">
        <v>64</v>
      </c>
      <c r="I13" s="9" t="s">
        <v>131</v>
      </c>
      <c r="J13" s="9" t="s">
        <v>132</v>
      </c>
      <c r="K13" s="9" t="s">
        <v>133</v>
      </c>
      <c r="L13" s="9" t="s">
        <v>158</v>
      </c>
      <c r="M13" s="9" t="s">
        <v>32</v>
      </c>
      <c r="N13" s="9" t="s">
        <v>46</v>
      </c>
      <c r="O13" s="9" t="s">
        <v>98</v>
      </c>
      <c r="P13" s="9" t="s">
        <v>192</v>
      </c>
      <c r="Q13" s="10" t="s">
        <v>193</v>
      </c>
      <c r="R13" s="9" t="s">
        <v>78</v>
      </c>
      <c r="S13" s="9" t="s">
        <v>100</v>
      </c>
      <c r="T13" s="9" t="s">
        <v>46</v>
      </c>
      <c r="U13" s="11">
        <v>45928.0</v>
      </c>
      <c r="V13" s="11" t="s">
        <v>47</v>
      </c>
      <c r="W13" s="11" t="s">
        <v>33</v>
      </c>
      <c r="X13" s="18">
        <v>85.0</v>
      </c>
      <c r="Y13" s="18">
        <f t="shared" si="1"/>
        <v>17</v>
      </c>
      <c r="Z13" s="12">
        <f t="shared" si="2"/>
        <v>102</v>
      </c>
    </row>
    <row r="14" ht="14.25" customHeight="1">
      <c r="A14" s="13" t="s">
        <v>102</v>
      </c>
      <c r="B14" s="14" t="s">
        <v>194</v>
      </c>
      <c r="C14" s="14" t="s">
        <v>195</v>
      </c>
      <c r="D14" s="14" t="s">
        <v>196</v>
      </c>
      <c r="E14" s="14" t="s">
        <v>197</v>
      </c>
      <c r="F14" s="14" t="s">
        <v>105</v>
      </c>
      <c r="G14" s="14" t="s">
        <v>198</v>
      </c>
      <c r="H14" s="14" t="s">
        <v>108</v>
      </c>
      <c r="I14" s="14" t="s">
        <v>199</v>
      </c>
      <c r="J14" s="14" t="s">
        <v>200</v>
      </c>
      <c r="K14" s="14" t="s">
        <v>201</v>
      </c>
      <c r="L14" s="14" t="s">
        <v>202</v>
      </c>
      <c r="M14" s="14" t="s">
        <v>32</v>
      </c>
      <c r="N14" s="14" t="s">
        <v>46</v>
      </c>
      <c r="O14" s="14" t="s">
        <v>109</v>
      </c>
      <c r="P14" s="14" t="s">
        <v>180</v>
      </c>
      <c r="Q14" s="14" t="s">
        <v>181</v>
      </c>
      <c r="R14" s="14" t="s">
        <v>66</v>
      </c>
      <c r="S14" s="14" t="s">
        <v>67</v>
      </c>
      <c r="T14" s="16" t="s">
        <v>46</v>
      </c>
      <c r="U14" s="16">
        <v>45946.0</v>
      </c>
      <c r="V14" s="16" t="s">
        <v>32</v>
      </c>
      <c r="W14" s="16" t="s">
        <v>48</v>
      </c>
      <c r="X14" s="19">
        <v>140.0</v>
      </c>
      <c r="Y14" s="19">
        <f t="shared" si="1"/>
        <v>28</v>
      </c>
      <c r="Z14" s="17">
        <f t="shared" si="2"/>
        <v>168</v>
      </c>
    </row>
    <row r="15" ht="14.25" customHeight="1">
      <c r="M15" s="9"/>
      <c r="N15" s="9"/>
      <c r="T15" s="9"/>
      <c r="U15" s="11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30.38"/>
    <col customWidth="1" min="3" max="3" width="21.75"/>
    <col customWidth="1" min="4" max="4" width="32.25"/>
    <col customWidth="1" min="5" max="5" width="25.13"/>
    <col customWidth="1" min="6" max="6" width="30.63"/>
    <col customWidth="1" min="7" max="7" width="15.75"/>
    <col customWidth="1" min="8" max="9" width="21.38"/>
    <col customWidth="1" min="10" max="10" width="38.63"/>
    <col customWidth="1" min="11" max="11" width="25.63"/>
    <col customWidth="1" min="12" max="16" width="21.38"/>
    <col customWidth="1" min="17" max="17" width="25.13"/>
    <col customWidth="1" min="18" max="26" width="21.38"/>
  </cols>
  <sheetData>
    <row r="1" ht="32.25" customHeight="1">
      <c r="A1" s="1" t="s">
        <v>0</v>
      </c>
      <c r="B1" s="2"/>
      <c r="C1" s="3" t="s">
        <v>203</v>
      </c>
    </row>
    <row r="2" ht="14.25" customHeight="1"/>
    <row r="3" ht="14.25" customHeight="1"/>
    <row r="4" ht="14.25" customHeight="1">
      <c r="A4" s="20" t="s">
        <v>204</v>
      </c>
      <c r="B4" s="2"/>
      <c r="C4" s="3"/>
      <c r="H4" s="20" t="s">
        <v>205</v>
      </c>
      <c r="I4" s="2"/>
      <c r="J4" s="3"/>
    </row>
    <row r="5" ht="14.25" customHeight="1"/>
    <row r="6" ht="14.25" customHeight="1"/>
    <row r="7" ht="14.25" customHeight="1">
      <c r="A7" s="4" t="s">
        <v>206</v>
      </c>
      <c r="B7" s="5" t="s">
        <v>207</v>
      </c>
      <c r="C7" s="5" t="s">
        <v>3</v>
      </c>
      <c r="D7" s="5" t="s">
        <v>112</v>
      </c>
      <c r="E7" s="5" t="s">
        <v>113</v>
      </c>
      <c r="F7" s="6" t="s">
        <v>114</v>
      </c>
      <c r="H7" s="4" t="s">
        <v>208</v>
      </c>
      <c r="I7" s="5" t="s">
        <v>5</v>
      </c>
      <c r="J7" s="5" t="s">
        <v>6</v>
      </c>
      <c r="K7" s="5" t="s">
        <v>115</v>
      </c>
      <c r="L7" s="5" t="s">
        <v>116</v>
      </c>
      <c r="M7" s="5" t="s">
        <v>117</v>
      </c>
      <c r="N7" s="6" t="s">
        <v>209</v>
      </c>
    </row>
    <row r="8" ht="14.25" customHeight="1">
      <c r="A8" s="8">
        <v>1.0</v>
      </c>
      <c r="B8" s="9" t="s">
        <v>19</v>
      </c>
      <c r="C8" s="9" t="s">
        <v>126</v>
      </c>
      <c r="D8" s="9" t="s">
        <v>127</v>
      </c>
      <c r="E8" s="9" t="s">
        <v>128</v>
      </c>
      <c r="F8" s="21" t="s">
        <v>129</v>
      </c>
      <c r="H8" s="22">
        <v>1.0</v>
      </c>
      <c r="I8" s="9" t="s">
        <v>105</v>
      </c>
      <c r="J8" s="9" t="s">
        <v>198</v>
      </c>
      <c r="K8" s="9" t="s">
        <v>199</v>
      </c>
      <c r="L8" s="9" t="s">
        <v>200</v>
      </c>
      <c r="M8" s="9" t="s">
        <v>201</v>
      </c>
      <c r="N8" s="21" t="s">
        <v>134</v>
      </c>
    </row>
    <row r="9" ht="14.25" customHeight="1">
      <c r="A9" s="8">
        <v>2.0</v>
      </c>
      <c r="B9" s="9" t="s">
        <v>35</v>
      </c>
      <c r="C9" s="9" t="s">
        <v>137</v>
      </c>
      <c r="D9" s="9" t="s">
        <v>138</v>
      </c>
      <c r="E9" s="9" t="s">
        <v>139</v>
      </c>
      <c r="F9" s="21" t="s">
        <v>140</v>
      </c>
      <c r="H9" s="22">
        <v>2.0</v>
      </c>
      <c r="I9" s="9" t="s">
        <v>22</v>
      </c>
      <c r="J9" s="9" t="s">
        <v>130</v>
      </c>
      <c r="K9" s="9" t="s">
        <v>131</v>
      </c>
      <c r="L9" s="9" t="s">
        <v>132</v>
      </c>
      <c r="M9" s="9" t="s">
        <v>133</v>
      </c>
      <c r="N9" s="21" t="s">
        <v>145</v>
      </c>
    </row>
    <row r="10" ht="14.25" customHeight="1">
      <c r="A10" s="8">
        <v>3.0</v>
      </c>
      <c r="B10" s="9" t="s">
        <v>50</v>
      </c>
      <c r="C10" s="9" t="s">
        <v>147</v>
      </c>
      <c r="D10" s="9" t="s">
        <v>148</v>
      </c>
      <c r="E10" s="9" t="s">
        <v>149</v>
      </c>
      <c r="F10" s="21" t="s">
        <v>150</v>
      </c>
      <c r="H10" s="22">
        <v>3.0</v>
      </c>
      <c r="I10" s="9" t="s">
        <v>38</v>
      </c>
      <c r="J10" s="9" t="s">
        <v>141</v>
      </c>
      <c r="K10" s="9" t="s">
        <v>142</v>
      </c>
      <c r="L10" s="9" t="s">
        <v>143</v>
      </c>
      <c r="M10" s="9" t="s">
        <v>144</v>
      </c>
      <c r="N10" s="21" t="s">
        <v>158</v>
      </c>
    </row>
    <row r="11" ht="14.25" customHeight="1">
      <c r="A11" s="8">
        <v>4.0</v>
      </c>
      <c r="B11" s="9" t="s">
        <v>55</v>
      </c>
      <c r="C11" s="9" t="s">
        <v>153</v>
      </c>
      <c r="D11" s="9" t="s">
        <v>154</v>
      </c>
      <c r="E11" s="9" t="s">
        <v>155</v>
      </c>
      <c r="F11" s="21" t="s">
        <v>156</v>
      </c>
      <c r="H11" s="23">
        <v>4.0</v>
      </c>
      <c r="I11" s="14" t="s">
        <v>72</v>
      </c>
      <c r="J11" s="14" t="s">
        <v>169</v>
      </c>
      <c r="K11" s="14" t="s">
        <v>170</v>
      </c>
      <c r="L11" s="14" t="s">
        <v>171</v>
      </c>
      <c r="M11" s="14" t="s">
        <v>172</v>
      </c>
      <c r="N11" s="24" t="s">
        <v>173</v>
      </c>
    </row>
    <row r="12" ht="14.25" customHeight="1">
      <c r="A12" s="8">
        <v>5.0</v>
      </c>
      <c r="B12" s="9" t="s">
        <v>61</v>
      </c>
      <c r="C12" s="9" t="s">
        <v>161</v>
      </c>
      <c r="D12" s="9" t="s">
        <v>162</v>
      </c>
      <c r="E12" s="9" t="s">
        <v>163</v>
      </c>
      <c r="F12" s="21" t="s">
        <v>164</v>
      </c>
      <c r="I12" s="9"/>
      <c r="J12" s="9"/>
      <c r="K12" s="9"/>
      <c r="L12" s="9"/>
      <c r="M12" s="9"/>
    </row>
    <row r="13" ht="14.25" customHeight="1">
      <c r="A13" s="8">
        <v>6.0</v>
      </c>
      <c r="B13" s="9" t="s">
        <v>69</v>
      </c>
      <c r="C13" s="9" t="s">
        <v>165</v>
      </c>
      <c r="D13" s="9" t="s">
        <v>166</v>
      </c>
      <c r="E13" s="9" t="s">
        <v>167</v>
      </c>
      <c r="F13" s="21" t="s">
        <v>168</v>
      </c>
      <c r="I13" s="9"/>
      <c r="J13" s="9"/>
      <c r="K13" s="9"/>
      <c r="L13" s="9"/>
      <c r="M13" s="9"/>
    </row>
    <row r="14" ht="14.25" customHeight="1">
      <c r="A14" s="8">
        <v>7.0</v>
      </c>
      <c r="B14" s="9" t="s">
        <v>81</v>
      </c>
      <c r="C14" s="9" t="s">
        <v>176</v>
      </c>
      <c r="D14" s="9" t="s">
        <v>177</v>
      </c>
      <c r="E14" s="9" t="s">
        <v>178</v>
      </c>
      <c r="F14" s="21" t="s">
        <v>179</v>
      </c>
      <c r="I14" s="9"/>
      <c r="J14" s="9"/>
      <c r="K14" s="9"/>
      <c r="L14" s="9"/>
      <c r="M14" s="9"/>
    </row>
    <row r="15" ht="14.25" customHeight="1">
      <c r="A15" s="8">
        <v>8.0</v>
      </c>
      <c r="B15" s="9" t="s">
        <v>88</v>
      </c>
      <c r="C15" s="9" t="s">
        <v>182</v>
      </c>
      <c r="D15" s="9" t="s">
        <v>183</v>
      </c>
      <c r="E15" s="9" t="s">
        <v>184</v>
      </c>
      <c r="F15" s="21" t="s">
        <v>185</v>
      </c>
      <c r="I15" s="9"/>
      <c r="J15" s="9"/>
      <c r="K15" s="9"/>
      <c r="L15" s="9"/>
      <c r="M15" s="9"/>
      <c r="N15" s="9"/>
    </row>
    <row r="16" ht="14.25" customHeight="1">
      <c r="A16" s="8">
        <v>9.0</v>
      </c>
      <c r="B16" s="9" t="s">
        <v>95</v>
      </c>
      <c r="C16" s="9" t="s">
        <v>188</v>
      </c>
      <c r="D16" s="9" t="s">
        <v>189</v>
      </c>
      <c r="E16" s="9" t="s">
        <v>190</v>
      </c>
      <c r="F16" s="21" t="s">
        <v>191</v>
      </c>
      <c r="I16" s="9"/>
      <c r="J16" s="9"/>
      <c r="K16" s="9"/>
      <c r="L16" s="9"/>
      <c r="M16" s="9"/>
      <c r="N16" s="9"/>
    </row>
    <row r="17" ht="14.25" customHeight="1">
      <c r="A17" s="13">
        <v>10.0</v>
      </c>
      <c r="B17" s="14" t="s">
        <v>102</v>
      </c>
      <c r="C17" s="14" t="s">
        <v>194</v>
      </c>
      <c r="D17" s="14" t="s">
        <v>195</v>
      </c>
      <c r="E17" s="14" t="s">
        <v>196</v>
      </c>
      <c r="F17" s="24" t="s">
        <v>197</v>
      </c>
      <c r="I17" s="9"/>
      <c r="J17" s="9"/>
      <c r="K17" s="9"/>
      <c r="L17" s="9"/>
      <c r="M17" s="9"/>
      <c r="N17" s="9"/>
    </row>
    <row r="18" ht="14.25" customHeight="1"/>
    <row r="19" ht="14.25" customHeight="1"/>
    <row r="20" ht="14.25" customHeight="1">
      <c r="A20" s="20" t="s">
        <v>210</v>
      </c>
      <c r="B20" s="2"/>
      <c r="C20" s="3"/>
    </row>
    <row r="21" ht="14.25" customHeight="1"/>
    <row r="22" ht="14.25" customHeight="1">
      <c r="A22" s="4" t="s">
        <v>211</v>
      </c>
      <c r="B22" s="5" t="s">
        <v>208</v>
      </c>
      <c r="C22" s="5" t="s">
        <v>8</v>
      </c>
      <c r="D22" s="5" t="s">
        <v>119</v>
      </c>
      <c r="E22" s="5" t="s">
        <v>212</v>
      </c>
      <c r="F22" s="5" t="s">
        <v>10</v>
      </c>
      <c r="G22" s="5" t="s">
        <v>121</v>
      </c>
      <c r="H22" s="5" t="s">
        <v>122</v>
      </c>
      <c r="I22" s="5" t="s">
        <v>12</v>
      </c>
      <c r="J22" s="5" t="s">
        <v>13</v>
      </c>
      <c r="K22" s="5" t="s">
        <v>14</v>
      </c>
      <c r="L22" s="5" t="s">
        <v>15</v>
      </c>
      <c r="M22" s="5" t="s">
        <v>16</v>
      </c>
      <c r="N22" s="5" t="s">
        <v>17</v>
      </c>
      <c r="O22" s="5" t="s">
        <v>123</v>
      </c>
      <c r="P22" s="5" t="s">
        <v>124</v>
      </c>
      <c r="Q22" s="6" t="s">
        <v>125</v>
      </c>
    </row>
    <row r="23" ht="14.25" customHeight="1">
      <c r="A23" s="8">
        <v>1.0</v>
      </c>
      <c r="B23" s="9">
        <v>2.0</v>
      </c>
      <c r="C23" s="9" t="s">
        <v>25</v>
      </c>
      <c r="D23" s="9" t="s">
        <v>47</v>
      </c>
      <c r="E23" s="9">
        <v>1.0</v>
      </c>
      <c r="F23" s="9" t="s">
        <v>27</v>
      </c>
      <c r="G23" s="9" t="s">
        <v>135</v>
      </c>
      <c r="H23" s="10" t="s">
        <v>136</v>
      </c>
      <c r="I23" s="9" t="s">
        <v>29</v>
      </c>
      <c r="J23" s="9" t="s">
        <v>30</v>
      </c>
      <c r="K23" s="9" t="s">
        <v>31</v>
      </c>
      <c r="L23" s="11">
        <v>45936.0</v>
      </c>
      <c r="M23" s="11" t="s">
        <v>32</v>
      </c>
      <c r="N23" s="11" t="s">
        <v>33</v>
      </c>
      <c r="O23" s="18">
        <v>180.0</v>
      </c>
      <c r="P23" s="18">
        <f t="shared" ref="P23:P32" si="1">O23*0.2</f>
        <v>36</v>
      </c>
      <c r="Q23" s="12">
        <f t="shared" ref="Q23:Q32" si="2">O23+P23</f>
        <v>216</v>
      </c>
    </row>
    <row r="24" ht="14.25" customHeight="1">
      <c r="A24" s="8">
        <v>2.0</v>
      </c>
      <c r="B24" s="9">
        <v>3.0</v>
      </c>
      <c r="C24" s="9" t="s">
        <v>41</v>
      </c>
      <c r="D24" s="9" t="s">
        <v>32</v>
      </c>
      <c r="E24" s="9" t="s">
        <v>46</v>
      </c>
      <c r="F24" s="9" t="s">
        <v>42</v>
      </c>
      <c r="G24" s="9" t="s">
        <v>135</v>
      </c>
      <c r="H24" s="10" t="s">
        <v>146</v>
      </c>
      <c r="I24" s="9" t="s">
        <v>44</v>
      </c>
      <c r="J24" s="9" t="s">
        <v>45</v>
      </c>
      <c r="K24" s="9" t="s">
        <v>46</v>
      </c>
      <c r="L24" s="11">
        <v>45931.0</v>
      </c>
      <c r="M24" s="11" t="s">
        <v>47</v>
      </c>
      <c r="N24" s="11" t="s">
        <v>48</v>
      </c>
      <c r="O24" s="18">
        <v>80.0</v>
      </c>
      <c r="P24" s="18">
        <f t="shared" si="1"/>
        <v>16</v>
      </c>
      <c r="Q24" s="12">
        <f t="shared" si="2"/>
        <v>96</v>
      </c>
    </row>
    <row r="25" ht="14.25" customHeight="1">
      <c r="A25" s="8">
        <v>3.0</v>
      </c>
      <c r="B25" s="9">
        <v>3.0</v>
      </c>
      <c r="C25" s="9" t="s">
        <v>41</v>
      </c>
      <c r="D25" s="9" t="s">
        <v>32</v>
      </c>
      <c r="E25" s="9" t="s">
        <v>46</v>
      </c>
      <c r="F25" s="9" t="s">
        <v>53</v>
      </c>
      <c r="G25" s="9" t="s">
        <v>151</v>
      </c>
      <c r="H25" s="10" t="s">
        <v>152</v>
      </c>
      <c r="I25" s="9" t="s">
        <v>44</v>
      </c>
      <c r="J25" s="9" t="s">
        <v>45</v>
      </c>
      <c r="K25" s="9" t="s">
        <v>46</v>
      </c>
      <c r="L25" s="11">
        <v>45945.0</v>
      </c>
      <c r="M25" s="11" t="s">
        <v>32</v>
      </c>
      <c r="N25" s="11" t="s">
        <v>33</v>
      </c>
      <c r="O25" s="18">
        <v>80.0</v>
      </c>
      <c r="P25" s="18">
        <f t="shared" si="1"/>
        <v>16</v>
      </c>
      <c r="Q25" s="12">
        <f t="shared" si="2"/>
        <v>96</v>
      </c>
    </row>
    <row r="26" ht="14.25" customHeight="1">
      <c r="A26" s="8">
        <v>4.0</v>
      </c>
      <c r="B26" s="9">
        <v>2.0</v>
      </c>
      <c r="C26" s="9" t="s">
        <v>25</v>
      </c>
      <c r="D26" s="9" t="s">
        <v>32</v>
      </c>
      <c r="E26" s="9" t="s">
        <v>46</v>
      </c>
      <c r="F26" s="9" t="s">
        <v>59</v>
      </c>
      <c r="G26" s="9" t="s">
        <v>159</v>
      </c>
      <c r="H26" s="10" t="s">
        <v>160</v>
      </c>
      <c r="I26" s="9" t="s">
        <v>29</v>
      </c>
      <c r="J26" s="9" t="s">
        <v>30</v>
      </c>
      <c r="K26" s="9" t="s">
        <v>31</v>
      </c>
      <c r="L26" s="11">
        <v>45940.0</v>
      </c>
      <c r="M26" s="11" t="s">
        <v>32</v>
      </c>
      <c r="N26" s="11" t="s">
        <v>33</v>
      </c>
      <c r="O26" s="18">
        <v>180.0</v>
      </c>
      <c r="P26" s="18">
        <f t="shared" si="1"/>
        <v>36</v>
      </c>
      <c r="Q26" s="12">
        <f t="shared" si="2"/>
        <v>216</v>
      </c>
    </row>
    <row r="27" ht="14.25" customHeight="1">
      <c r="A27" s="8">
        <v>5.0</v>
      </c>
      <c r="B27" s="9">
        <v>2.0</v>
      </c>
      <c r="C27" s="9" t="s">
        <v>64</v>
      </c>
      <c r="D27" s="9" t="s">
        <v>32</v>
      </c>
      <c r="E27" s="9" t="s">
        <v>46</v>
      </c>
      <c r="F27" s="9" t="s">
        <v>65</v>
      </c>
      <c r="G27" s="9" t="s">
        <v>151</v>
      </c>
      <c r="H27" s="10" t="s">
        <v>152</v>
      </c>
      <c r="I27" s="9" t="s">
        <v>66</v>
      </c>
      <c r="J27" s="9" t="s">
        <v>67</v>
      </c>
      <c r="K27" s="9" t="s">
        <v>46</v>
      </c>
      <c r="L27" s="11">
        <v>45933.0</v>
      </c>
      <c r="M27" s="11" t="s">
        <v>32</v>
      </c>
      <c r="N27" s="11" t="s">
        <v>48</v>
      </c>
      <c r="O27" s="18">
        <v>120.0</v>
      </c>
      <c r="P27" s="18">
        <f t="shared" si="1"/>
        <v>24</v>
      </c>
      <c r="Q27" s="12">
        <f t="shared" si="2"/>
        <v>144</v>
      </c>
    </row>
    <row r="28" ht="14.25" customHeight="1">
      <c r="A28" s="8">
        <v>6.0</v>
      </c>
      <c r="B28" s="9">
        <v>4.0</v>
      </c>
      <c r="C28" s="9" t="s">
        <v>75</v>
      </c>
      <c r="D28" s="9" t="s">
        <v>32</v>
      </c>
      <c r="E28" s="9" t="s">
        <v>46</v>
      </c>
      <c r="F28" s="9" t="s">
        <v>76</v>
      </c>
      <c r="G28" s="9" t="s">
        <v>174</v>
      </c>
      <c r="H28" s="10" t="s">
        <v>175</v>
      </c>
      <c r="I28" s="9" t="s">
        <v>78</v>
      </c>
      <c r="J28" s="9" t="s">
        <v>79</v>
      </c>
      <c r="K28" s="9" t="s">
        <v>46</v>
      </c>
      <c r="L28" s="11">
        <v>45948.0</v>
      </c>
      <c r="M28" s="11" t="s">
        <v>32</v>
      </c>
      <c r="N28" s="11" t="s">
        <v>33</v>
      </c>
      <c r="O28" s="18">
        <v>450.0</v>
      </c>
      <c r="P28" s="18">
        <f t="shared" si="1"/>
        <v>90</v>
      </c>
      <c r="Q28" s="12">
        <f t="shared" si="2"/>
        <v>540</v>
      </c>
    </row>
    <row r="29" ht="14.25" customHeight="1">
      <c r="A29" s="8">
        <v>7.0</v>
      </c>
      <c r="B29" s="9">
        <v>2.0</v>
      </c>
      <c r="C29" s="9" t="s">
        <v>25</v>
      </c>
      <c r="D29" s="9" t="s">
        <v>47</v>
      </c>
      <c r="E29" s="9">
        <v>1.0</v>
      </c>
      <c r="F29" s="9" t="s">
        <v>84</v>
      </c>
      <c r="G29" s="9" t="s">
        <v>180</v>
      </c>
      <c r="H29" s="10" t="s">
        <v>181</v>
      </c>
      <c r="I29" s="9" t="s">
        <v>66</v>
      </c>
      <c r="J29" s="9" t="s">
        <v>86</v>
      </c>
      <c r="K29" s="9" t="s">
        <v>46</v>
      </c>
      <c r="L29" s="11">
        <v>45939.0</v>
      </c>
      <c r="M29" s="11" t="s">
        <v>32</v>
      </c>
      <c r="N29" s="11" t="s">
        <v>87</v>
      </c>
      <c r="O29" s="18">
        <v>120.0</v>
      </c>
      <c r="P29" s="18">
        <f t="shared" si="1"/>
        <v>24</v>
      </c>
      <c r="Q29" s="12">
        <f t="shared" si="2"/>
        <v>144</v>
      </c>
    </row>
    <row r="30" ht="14.25" customHeight="1">
      <c r="A30" s="8">
        <v>8.0</v>
      </c>
      <c r="B30" s="9">
        <v>4.0</v>
      </c>
      <c r="C30" s="9" t="s">
        <v>75</v>
      </c>
      <c r="D30" s="9" t="s">
        <v>32</v>
      </c>
      <c r="E30" s="9" t="s">
        <v>46</v>
      </c>
      <c r="F30" s="9" t="s">
        <v>91</v>
      </c>
      <c r="G30" s="9" t="s">
        <v>186</v>
      </c>
      <c r="H30" s="10" t="s">
        <v>187</v>
      </c>
      <c r="I30" s="9" t="s">
        <v>29</v>
      </c>
      <c r="J30" s="9" t="s">
        <v>93</v>
      </c>
      <c r="K30" s="9" t="s">
        <v>31</v>
      </c>
      <c r="L30" s="11">
        <v>45943.0</v>
      </c>
      <c r="M30" s="11" t="s">
        <v>32</v>
      </c>
      <c r="N30" s="11" t="s">
        <v>87</v>
      </c>
      <c r="O30" s="18">
        <v>175.0</v>
      </c>
      <c r="P30" s="18">
        <f t="shared" si="1"/>
        <v>35</v>
      </c>
      <c r="Q30" s="12">
        <f t="shared" si="2"/>
        <v>210</v>
      </c>
    </row>
    <row r="31" ht="14.25" customHeight="1">
      <c r="A31" s="8">
        <v>9.0</v>
      </c>
      <c r="B31" s="9">
        <v>2.0</v>
      </c>
      <c r="C31" s="9" t="s">
        <v>64</v>
      </c>
      <c r="D31" s="9" t="s">
        <v>32</v>
      </c>
      <c r="E31" s="9" t="s">
        <v>46</v>
      </c>
      <c r="F31" s="9" t="s">
        <v>98</v>
      </c>
      <c r="G31" s="9" t="s">
        <v>192</v>
      </c>
      <c r="H31" s="10" t="s">
        <v>193</v>
      </c>
      <c r="I31" s="9" t="s">
        <v>78</v>
      </c>
      <c r="J31" s="9" t="s">
        <v>100</v>
      </c>
      <c r="K31" s="9" t="s">
        <v>46</v>
      </c>
      <c r="L31" s="11">
        <v>45928.0</v>
      </c>
      <c r="M31" s="11" t="s">
        <v>47</v>
      </c>
      <c r="N31" s="11" t="s">
        <v>33</v>
      </c>
      <c r="O31" s="18">
        <v>85.0</v>
      </c>
      <c r="P31" s="18">
        <f t="shared" si="1"/>
        <v>17</v>
      </c>
      <c r="Q31" s="12">
        <f t="shared" si="2"/>
        <v>102</v>
      </c>
    </row>
    <row r="32" ht="14.25" customHeight="1">
      <c r="A32" s="13">
        <v>10.0</v>
      </c>
      <c r="B32" s="14">
        <v>1.0</v>
      </c>
      <c r="C32" s="14" t="s">
        <v>108</v>
      </c>
      <c r="D32" s="14" t="s">
        <v>32</v>
      </c>
      <c r="E32" s="14" t="s">
        <v>46</v>
      </c>
      <c r="F32" s="14" t="s">
        <v>109</v>
      </c>
      <c r="G32" s="14" t="s">
        <v>180</v>
      </c>
      <c r="H32" s="14" t="s">
        <v>181</v>
      </c>
      <c r="I32" s="14" t="s">
        <v>66</v>
      </c>
      <c r="J32" s="14" t="s">
        <v>67</v>
      </c>
      <c r="K32" s="16" t="s">
        <v>46</v>
      </c>
      <c r="L32" s="16">
        <v>45946.0</v>
      </c>
      <c r="M32" s="16" t="s">
        <v>32</v>
      </c>
      <c r="N32" s="16" t="s">
        <v>48</v>
      </c>
      <c r="O32" s="19">
        <v>140.0</v>
      </c>
      <c r="P32" s="19">
        <f t="shared" si="1"/>
        <v>28</v>
      </c>
      <c r="Q32" s="17">
        <f t="shared" si="2"/>
        <v>168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30.38"/>
    <col customWidth="1" min="3" max="3" width="21.75"/>
    <col customWidth="1" min="4" max="4" width="32.25"/>
    <col customWidth="1" min="5" max="5" width="25.13"/>
    <col customWidth="1" min="6" max="6" width="30.63"/>
    <col customWidth="1" min="7" max="7" width="26.63"/>
    <col customWidth="1" min="8" max="9" width="21.38"/>
    <col customWidth="1" min="10" max="10" width="38.63"/>
    <col customWidth="1" min="11" max="11" width="28.75"/>
    <col customWidth="1" min="12" max="12" width="57.63"/>
    <col customWidth="1" min="13" max="13" width="35.88"/>
    <col customWidth="1" min="14" max="15" width="21.38"/>
    <col customWidth="1" min="16" max="16" width="33.38"/>
    <col customWidth="1" min="17" max="26" width="21.38"/>
  </cols>
  <sheetData>
    <row r="1" ht="24.0" customHeight="1">
      <c r="A1" s="1" t="s">
        <v>0</v>
      </c>
      <c r="B1" s="2"/>
      <c r="C1" s="3" t="s">
        <v>213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4.25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5"/>
      <c r="B3" s="25"/>
      <c r="C3" s="25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0" t="s">
        <v>214</v>
      </c>
      <c r="B4" s="2"/>
      <c r="C4" s="3"/>
      <c r="D4" s="25"/>
      <c r="E4" s="25"/>
      <c r="F4" s="25"/>
      <c r="G4" s="25"/>
      <c r="H4" s="25"/>
      <c r="I4" s="20" t="s">
        <v>205</v>
      </c>
      <c r="J4" s="2"/>
      <c r="K4" s="3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4" t="s">
        <v>206</v>
      </c>
      <c r="B7" s="5" t="s">
        <v>211</v>
      </c>
      <c r="C7" s="5" t="s">
        <v>10</v>
      </c>
      <c r="D7" s="5" t="s">
        <v>121</v>
      </c>
      <c r="E7" s="5" t="s">
        <v>122</v>
      </c>
      <c r="F7" s="6" t="s">
        <v>215</v>
      </c>
      <c r="G7" s="25"/>
      <c r="H7" s="25"/>
      <c r="I7" s="4" t="s">
        <v>208</v>
      </c>
      <c r="J7" s="5" t="s">
        <v>5</v>
      </c>
      <c r="K7" s="5" t="s">
        <v>6</v>
      </c>
      <c r="L7" s="5" t="s">
        <v>115</v>
      </c>
      <c r="M7" s="5" t="s">
        <v>116</v>
      </c>
      <c r="N7" s="5" t="s">
        <v>117</v>
      </c>
      <c r="O7" s="6" t="s">
        <v>209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7" t="s">
        <v>216</v>
      </c>
      <c r="B8" s="28" t="s">
        <v>217</v>
      </c>
      <c r="C8" s="28" t="s">
        <v>27</v>
      </c>
      <c r="D8" s="28" t="s">
        <v>135</v>
      </c>
      <c r="E8" s="29" t="s">
        <v>136</v>
      </c>
      <c r="F8" s="30" t="s">
        <v>31</v>
      </c>
      <c r="G8" s="25"/>
      <c r="H8" s="25"/>
      <c r="I8" s="31" t="s">
        <v>218</v>
      </c>
      <c r="J8" s="28" t="s">
        <v>105</v>
      </c>
      <c r="K8" s="28" t="s">
        <v>198</v>
      </c>
      <c r="L8" s="28" t="s">
        <v>219</v>
      </c>
      <c r="M8" s="28" t="s">
        <v>200</v>
      </c>
      <c r="N8" s="28" t="s">
        <v>201</v>
      </c>
      <c r="O8" s="30" t="s">
        <v>134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32" t="s">
        <v>220</v>
      </c>
      <c r="B9" s="33" t="s">
        <v>221</v>
      </c>
      <c r="C9" s="33" t="s">
        <v>42</v>
      </c>
      <c r="D9" s="33" t="s">
        <v>135</v>
      </c>
      <c r="E9" s="25" t="s">
        <v>146</v>
      </c>
      <c r="F9" s="34" t="s">
        <v>46</v>
      </c>
      <c r="G9" s="25"/>
      <c r="H9" s="25"/>
      <c r="I9" s="35" t="s">
        <v>222</v>
      </c>
      <c r="J9" s="33" t="s">
        <v>22</v>
      </c>
      <c r="K9" s="33" t="s">
        <v>130</v>
      </c>
      <c r="L9" s="33" t="s">
        <v>223</v>
      </c>
      <c r="M9" s="33" t="s">
        <v>132</v>
      </c>
      <c r="N9" s="33" t="s">
        <v>133</v>
      </c>
      <c r="O9" s="34" t="s">
        <v>145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32" t="s">
        <v>224</v>
      </c>
      <c r="B10" s="33" t="s">
        <v>225</v>
      </c>
      <c r="C10" s="33" t="s">
        <v>53</v>
      </c>
      <c r="D10" s="33" t="s">
        <v>151</v>
      </c>
      <c r="E10" s="25" t="s">
        <v>152</v>
      </c>
      <c r="F10" s="34" t="s">
        <v>46</v>
      </c>
      <c r="G10" s="25"/>
      <c r="H10" s="25"/>
      <c r="I10" s="35" t="s">
        <v>226</v>
      </c>
      <c r="J10" s="33" t="s">
        <v>38</v>
      </c>
      <c r="K10" s="33" t="s">
        <v>141</v>
      </c>
      <c r="L10" s="33" t="s">
        <v>227</v>
      </c>
      <c r="M10" s="33" t="s">
        <v>143</v>
      </c>
      <c r="N10" s="33" t="s">
        <v>144</v>
      </c>
      <c r="O10" s="34" t="s">
        <v>158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32" t="s">
        <v>228</v>
      </c>
      <c r="B11" s="33" t="s">
        <v>229</v>
      </c>
      <c r="C11" s="33" t="s">
        <v>59</v>
      </c>
      <c r="D11" s="33" t="s">
        <v>159</v>
      </c>
      <c r="E11" s="25" t="s">
        <v>160</v>
      </c>
      <c r="F11" s="34" t="s">
        <v>31</v>
      </c>
      <c r="G11" s="25"/>
      <c r="H11" s="25"/>
      <c r="I11" s="36" t="s">
        <v>230</v>
      </c>
      <c r="J11" s="37" t="s">
        <v>72</v>
      </c>
      <c r="K11" s="37" t="s">
        <v>169</v>
      </c>
      <c r="L11" s="37" t="s">
        <v>231</v>
      </c>
      <c r="M11" s="37" t="s">
        <v>171</v>
      </c>
      <c r="N11" s="37" t="s">
        <v>172</v>
      </c>
      <c r="O11" s="38" t="s">
        <v>173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32" t="s">
        <v>232</v>
      </c>
      <c r="B12" s="33" t="s">
        <v>233</v>
      </c>
      <c r="C12" s="33" t="s">
        <v>65</v>
      </c>
      <c r="D12" s="33" t="s">
        <v>151</v>
      </c>
      <c r="E12" s="25" t="s">
        <v>152</v>
      </c>
      <c r="F12" s="34" t="s">
        <v>46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32" t="s">
        <v>234</v>
      </c>
      <c r="B13" s="33" t="s">
        <v>235</v>
      </c>
      <c r="C13" s="33" t="s">
        <v>76</v>
      </c>
      <c r="D13" s="33" t="s">
        <v>174</v>
      </c>
      <c r="E13" s="25" t="s">
        <v>175</v>
      </c>
      <c r="F13" s="34" t="s">
        <v>46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32" t="s">
        <v>236</v>
      </c>
      <c r="B14" s="33" t="s">
        <v>237</v>
      </c>
      <c r="C14" s="33" t="s">
        <v>84</v>
      </c>
      <c r="D14" s="33" t="s">
        <v>180</v>
      </c>
      <c r="E14" s="25" t="s">
        <v>181</v>
      </c>
      <c r="F14" s="34" t="s">
        <v>46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32" t="s">
        <v>238</v>
      </c>
      <c r="B15" s="33" t="s">
        <v>239</v>
      </c>
      <c r="C15" s="33" t="s">
        <v>91</v>
      </c>
      <c r="D15" s="33" t="s">
        <v>186</v>
      </c>
      <c r="E15" s="25" t="s">
        <v>187</v>
      </c>
      <c r="F15" s="34" t="s">
        <v>31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32" t="s">
        <v>240</v>
      </c>
      <c r="B16" s="33" t="s">
        <v>241</v>
      </c>
      <c r="C16" s="33" t="s">
        <v>98</v>
      </c>
      <c r="D16" s="33" t="s">
        <v>192</v>
      </c>
      <c r="E16" s="25" t="s">
        <v>193</v>
      </c>
      <c r="F16" s="34" t="s">
        <v>46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39" t="s">
        <v>242</v>
      </c>
      <c r="B17" s="37" t="s">
        <v>243</v>
      </c>
      <c r="C17" s="37" t="s">
        <v>109</v>
      </c>
      <c r="D17" s="37" t="s">
        <v>180</v>
      </c>
      <c r="E17" s="37" t="s">
        <v>181</v>
      </c>
      <c r="F17" s="40" t="s">
        <v>46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0" t="s">
        <v>244</v>
      </c>
      <c r="B20" s="2"/>
      <c r="C20" s="3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4" t="s">
        <v>206</v>
      </c>
      <c r="B23" s="5" t="s">
        <v>211</v>
      </c>
      <c r="C23" s="5" t="s">
        <v>208</v>
      </c>
      <c r="D23" s="5" t="s">
        <v>245</v>
      </c>
      <c r="E23" s="5" t="s">
        <v>246</v>
      </c>
      <c r="F23" s="5" t="s">
        <v>119</v>
      </c>
      <c r="G23" s="5" t="s">
        <v>247</v>
      </c>
      <c r="H23" s="5" t="s">
        <v>12</v>
      </c>
      <c r="I23" s="5" t="s">
        <v>15</v>
      </c>
      <c r="J23" s="5" t="s">
        <v>16</v>
      </c>
      <c r="K23" s="5" t="s">
        <v>17</v>
      </c>
      <c r="L23" s="5" t="s">
        <v>248</v>
      </c>
      <c r="M23" s="5" t="s">
        <v>123</v>
      </c>
      <c r="N23" s="5" t="s">
        <v>124</v>
      </c>
      <c r="O23" s="6" t="s">
        <v>125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35" t="s">
        <v>249</v>
      </c>
      <c r="B24" s="33" t="s">
        <v>217</v>
      </c>
      <c r="C24" s="33" t="s">
        <v>222</v>
      </c>
      <c r="D24" s="33" t="s">
        <v>250</v>
      </c>
      <c r="E24" s="33" t="s">
        <v>216</v>
      </c>
      <c r="F24" s="33" t="s">
        <v>47</v>
      </c>
      <c r="G24" s="33" t="s">
        <v>251</v>
      </c>
      <c r="H24" s="33" t="s">
        <v>252</v>
      </c>
      <c r="I24" s="41">
        <v>45936.0</v>
      </c>
      <c r="J24" s="41" t="s">
        <v>32</v>
      </c>
      <c r="K24" s="41" t="s">
        <v>33</v>
      </c>
      <c r="L24" s="42" t="s">
        <v>47</v>
      </c>
      <c r="M24" s="42">
        <v>180.0</v>
      </c>
      <c r="N24" s="42">
        <f t="shared" ref="N24:N33" si="1">M24*0.2</f>
        <v>36</v>
      </c>
      <c r="O24" s="43">
        <f t="shared" ref="O24:O33" si="2">M24+N24</f>
        <v>216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35" t="s">
        <v>253</v>
      </c>
      <c r="B25" s="33" t="s">
        <v>221</v>
      </c>
      <c r="C25" s="33" t="s">
        <v>226</v>
      </c>
      <c r="D25" s="33" t="s">
        <v>254</v>
      </c>
      <c r="E25" s="33" t="s">
        <v>220</v>
      </c>
      <c r="F25" s="33" t="s">
        <v>32</v>
      </c>
      <c r="G25" s="33" t="s">
        <v>255</v>
      </c>
      <c r="H25" s="33" t="s">
        <v>256</v>
      </c>
      <c r="I25" s="41">
        <v>45931.0</v>
      </c>
      <c r="J25" s="41" t="s">
        <v>47</v>
      </c>
      <c r="K25" s="41" t="s">
        <v>48</v>
      </c>
      <c r="L25" s="42" t="s">
        <v>47</v>
      </c>
      <c r="M25" s="42">
        <v>80.0</v>
      </c>
      <c r="N25" s="42">
        <f t="shared" si="1"/>
        <v>16</v>
      </c>
      <c r="O25" s="43">
        <f t="shared" si="2"/>
        <v>96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35" t="s">
        <v>257</v>
      </c>
      <c r="B26" s="33" t="s">
        <v>225</v>
      </c>
      <c r="C26" s="33" t="s">
        <v>226</v>
      </c>
      <c r="D26" s="33" t="s">
        <v>254</v>
      </c>
      <c r="E26" s="33" t="s">
        <v>224</v>
      </c>
      <c r="F26" s="33" t="s">
        <v>32</v>
      </c>
      <c r="G26" s="33" t="s">
        <v>255</v>
      </c>
      <c r="H26" s="33" t="s">
        <v>256</v>
      </c>
      <c r="I26" s="41">
        <v>45945.0</v>
      </c>
      <c r="J26" s="41" t="s">
        <v>32</v>
      </c>
      <c r="K26" s="41" t="s">
        <v>33</v>
      </c>
      <c r="L26" s="42" t="s">
        <v>47</v>
      </c>
      <c r="M26" s="42">
        <v>80.0</v>
      </c>
      <c r="N26" s="42">
        <f t="shared" si="1"/>
        <v>16</v>
      </c>
      <c r="O26" s="43">
        <f t="shared" si="2"/>
        <v>96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35" t="s">
        <v>258</v>
      </c>
      <c r="B27" s="33" t="s">
        <v>229</v>
      </c>
      <c r="C27" s="33" t="s">
        <v>222</v>
      </c>
      <c r="D27" s="33" t="s">
        <v>250</v>
      </c>
      <c r="E27" s="33" t="s">
        <v>228</v>
      </c>
      <c r="F27" s="33" t="s">
        <v>32</v>
      </c>
      <c r="G27" s="33" t="s">
        <v>46</v>
      </c>
      <c r="H27" s="33" t="s">
        <v>252</v>
      </c>
      <c r="I27" s="41">
        <v>45940.0</v>
      </c>
      <c r="J27" s="41" t="s">
        <v>32</v>
      </c>
      <c r="K27" s="41" t="s">
        <v>33</v>
      </c>
      <c r="L27" s="42" t="s">
        <v>47</v>
      </c>
      <c r="M27" s="42">
        <v>180.0</v>
      </c>
      <c r="N27" s="42">
        <f t="shared" si="1"/>
        <v>36</v>
      </c>
      <c r="O27" s="43">
        <f t="shared" si="2"/>
        <v>216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35" t="s">
        <v>259</v>
      </c>
      <c r="B28" s="33" t="s">
        <v>233</v>
      </c>
      <c r="C28" s="33" t="s">
        <v>222</v>
      </c>
      <c r="D28" s="33" t="s">
        <v>260</v>
      </c>
      <c r="E28" s="33" t="s">
        <v>232</v>
      </c>
      <c r="F28" s="33" t="s">
        <v>32</v>
      </c>
      <c r="G28" s="33" t="s">
        <v>46</v>
      </c>
      <c r="H28" s="33" t="s">
        <v>261</v>
      </c>
      <c r="I28" s="41">
        <v>45933.0</v>
      </c>
      <c r="J28" s="41" t="s">
        <v>32</v>
      </c>
      <c r="K28" s="41" t="s">
        <v>48</v>
      </c>
      <c r="L28" s="42" t="s">
        <v>47</v>
      </c>
      <c r="M28" s="42">
        <v>120.0</v>
      </c>
      <c r="N28" s="42">
        <f t="shared" si="1"/>
        <v>24</v>
      </c>
      <c r="O28" s="43">
        <f t="shared" si="2"/>
        <v>144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35" t="s">
        <v>262</v>
      </c>
      <c r="B29" s="33" t="s">
        <v>235</v>
      </c>
      <c r="C29" s="33" t="s">
        <v>230</v>
      </c>
      <c r="D29" s="33" t="s">
        <v>263</v>
      </c>
      <c r="E29" s="33" t="s">
        <v>234</v>
      </c>
      <c r="F29" s="33" t="s">
        <v>32</v>
      </c>
      <c r="G29" s="33" t="s">
        <v>46</v>
      </c>
      <c r="H29" s="33" t="s">
        <v>264</v>
      </c>
      <c r="I29" s="41">
        <v>45948.0</v>
      </c>
      <c r="J29" s="41" t="s">
        <v>32</v>
      </c>
      <c r="K29" s="41" t="s">
        <v>33</v>
      </c>
      <c r="L29" s="42" t="s">
        <v>47</v>
      </c>
      <c r="M29" s="42">
        <v>450.0</v>
      </c>
      <c r="N29" s="42">
        <f t="shared" si="1"/>
        <v>90</v>
      </c>
      <c r="O29" s="43">
        <f t="shared" si="2"/>
        <v>540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35" t="s">
        <v>265</v>
      </c>
      <c r="B30" s="33" t="s">
        <v>237</v>
      </c>
      <c r="C30" s="33" t="s">
        <v>222</v>
      </c>
      <c r="D30" s="33" t="s">
        <v>250</v>
      </c>
      <c r="E30" s="33" t="s">
        <v>236</v>
      </c>
      <c r="F30" s="33" t="s">
        <v>47</v>
      </c>
      <c r="G30" s="33" t="s">
        <v>251</v>
      </c>
      <c r="H30" s="33" t="s">
        <v>261</v>
      </c>
      <c r="I30" s="41">
        <v>45939.0</v>
      </c>
      <c r="J30" s="41" t="s">
        <v>32</v>
      </c>
      <c r="K30" s="41" t="s">
        <v>87</v>
      </c>
      <c r="L30" s="42" t="s">
        <v>47</v>
      </c>
      <c r="M30" s="42">
        <v>120.0</v>
      </c>
      <c r="N30" s="42">
        <f t="shared" si="1"/>
        <v>24</v>
      </c>
      <c r="O30" s="43">
        <f t="shared" si="2"/>
        <v>144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35" t="s">
        <v>266</v>
      </c>
      <c r="B31" s="33" t="s">
        <v>239</v>
      </c>
      <c r="C31" s="33" t="s">
        <v>230</v>
      </c>
      <c r="D31" s="33" t="s">
        <v>263</v>
      </c>
      <c r="E31" s="33" t="s">
        <v>238</v>
      </c>
      <c r="F31" s="33" t="s">
        <v>32</v>
      </c>
      <c r="G31" s="33" t="s">
        <v>255</v>
      </c>
      <c r="H31" s="33" t="s">
        <v>252</v>
      </c>
      <c r="I31" s="41">
        <v>45943.0</v>
      </c>
      <c r="J31" s="41" t="s">
        <v>32</v>
      </c>
      <c r="K31" s="41" t="s">
        <v>87</v>
      </c>
      <c r="L31" s="42" t="s">
        <v>47</v>
      </c>
      <c r="M31" s="42">
        <v>175.0</v>
      </c>
      <c r="N31" s="42">
        <f t="shared" si="1"/>
        <v>35</v>
      </c>
      <c r="O31" s="43">
        <f t="shared" si="2"/>
        <v>210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35" t="s">
        <v>267</v>
      </c>
      <c r="B32" s="33" t="s">
        <v>241</v>
      </c>
      <c r="C32" s="33" t="s">
        <v>222</v>
      </c>
      <c r="D32" s="33" t="s">
        <v>260</v>
      </c>
      <c r="E32" s="33" t="s">
        <v>240</v>
      </c>
      <c r="F32" s="33" t="s">
        <v>32</v>
      </c>
      <c r="G32" s="33" t="s">
        <v>268</v>
      </c>
      <c r="H32" s="33" t="s">
        <v>264</v>
      </c>
      <c r="I32" s="41">
        <v>45928.0</v>
      </c>
      <c r="J32" s="41" t="s">
        <v>47</v>
      </c>
      <c r="K32" s="41" t="s">
        <v>33</v>
      </c>
      <c r="L32" s="42" t="s">
        <v>47</v>
      </c>
      <c r="M32" s="42">
        <v>85.0</v>
      </c>
      <c r="N32" s="42">
        <f t="shared" si="1"/>
        <v>17</v>
      </c>
      <c r="O32" s="43">
        <f t="shared" si="2"/>
        <v>102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36" t="s">
        <v>269</v>
      </c>
      <c r="B33" s="37" t="s">
        <v>243</v>
      </c>
      <c r="C33" s="37" t="s">
        <v>218</v>
      </c>
      <c r="D33" s="37" t="s">
        <v>270</v>
      </c>
      <c r="E33" s="37" t="s">
        <v>242</v>
      </c>
      <c r="F33" s="37" t="s">
        <v>32</v>
      </c>
      <c r="G33" s="37" t="s">
        <v>268</v>
      </c>
      <c r="H33" s="37" t="s">
        <v>261</v>
      </c>
      <c r="I33" s="44">
        <v>45946.0</v>
      </c>
      <c r="J33" s="44" t="s">
        <v>32</v>
      </c>
      <c r="K33" s="44" t="s">
        <v>48</v>
      </c>
      <c r="L33" s="44" t="s">
        <v>47</v>
      </c>
      <c r="M33" s="45">
        <v>140.0</v>
      </c>
      <c r="N33" s="45">
        <f t="shared" si="1"/>
        <v>28</v>
      </c>
      <c r="O33" s="46">
        <f t="shared" si="2"/>
        <v>168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5"/>
      <c r="B34" s="25"/>
      <c r="C34" s="25"/>
      <c r="D34" s="25"/>
      <c r="E34" s="33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5"/>
      <c r="B37" s="25"/>
      <c r="C37" s="25"/>
      <c r="D37" s="25"/>
      <c r="E37" s="33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0" t="s">
        <v>210</v>
      </c>
      <c r="B40" s="2"/>
      <c r="C40" s="3"/>
      <c r="D40" s="25"/>
      <c r="E40" s="25"/>
      <c r="F40" s="25"/>
      <c r="G40" s="20" t="s">
        <v>271</v>
      </c>
      <c r="H40" s="2"/>
      <c r="I40" s="3"/>
      <c r="J40" s="25"/>
      <c r="K40" s="25"/>
      <c r="L40" s="20" t="s">
        <v>272</v>
      </c>
      <c r="M40" s="2"/>
      <c r="N40" s="3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4" t="s">
        <v>273</v>
      </c>
      <c r="B42" s="5" t="s">
        <v>274</v>
      </c>
      <c r="C42" s="5" t="s">
        <v>246</v>
      </c>
      <c r="D42" s="5" t="s">
        <v>275</v>
      </c>
      <c r="E42" s="6" t="s">
        <v>276</v>
      </c>
      <c r="F42" s="25"/>
      <c r="G42" s="4" t="s">
        <v>277</v>
      </c>
      <c r="H42" s="5" t="s">
        <v>278</v>
      </c>
      <c r="I42" s="5" t="s">
        <v>279</v>
      </c>
      <c r="J42" s="6" t="s">
        <v>280</v>
      </c>
      <c r="K42" s="25"/>
      <c r="L42" s="4" t="s">
        <v>277</v>
      </c>
      <c r="M42" s="5" t="s">
        <v>281</v>
      </c>
      <c r="N42" s="5" t="s">
        <v>279</v>
      </c>
      <c r="O42" s="6" t="s">
        <v>282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32" t="s">
        <v>283</v>
      </c>
      <c r="B43" s="25" t="s">
        <v>249</v>
      </c>
      <c r="C43" s="33" t="s">
        <v>216</v>
      </c>
      <c r="D43" s="25" t="s">
        <v>284</v>
      </c>
      <c r="E43" s="47">
        <v>1.0</v>
      </c>
      <c r="F43" s="25"/>
      <c r="G43" s="8" t="s">
        <v>284</v>
      </c>
      <c r="H43" s="9" t="s">
        <v>285</v>
      </c>
      <c r="I43" s="9" t="s">
        <v>286</v>
      </c>
      <c r="J43" s="21" t="s">
        <v>287</v>
      </c>
      <c r="K43" s="25"/>
      <c r="L43" s="8" t="s">
        <v>252</v>
      </c>
      <c r="M43" s="33" t="s">
        <v>29</v>
      </c>
      <c r="N43" s="9" t="s">
        <v>288</v>
      </c>
      <c r="O43" s="21" t="s">
        <v>289</v>
      </c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32" t="s">
        <v>290</v>
      </c>
      <c r="B44" s="25" t="s">
        <v>249</v>
      </c>
      <c r="C44" s="33" t="s">
        <v>216</v>
      </c>
      <c r="D44" s="25" t="s">
        <v>291</v>
      </c>
      <c r="E44" s="47">
        <v>1.0</v>
      </c>
      <c r="F44" s="25"/>
      <c r="G44" s="8" t="s">
        <v>291</v>
      </c>
      <c r="H44" s="9" t="s">
        <v>292</v>
      </c>
      <c r="I44" s="9" t="s">
        <v>293</v>
      </c>
      <c r="J44" s="21" t="s">
        <v>294</v>
      </c>
      <c r="K44" s="25"/>
      <c r="L44" s="8" t="s">
        <v>256</v>
      </c>
      <c r="M44" s="33" t="s">
        <v>44</v>
      </c>
      <c r="N44" s="9" t="s">
        <v>295</v>
      </c>
      <c r="O44" s="21" t="s">
        <v>296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32" t="s">
        <v>297</v>
      </c>
      <c r="B45" s="25" t="s">
        <v>249</v>
      </c>
      <c r="C45" s="33" t="s">
        <v>216</v>
      </c>
      <c r="D45" s="25" t="s">
        <v>298</v>
      </c>
      <c r="E45" s="47">
        <v>1.0</v>
      </c>
      <c r="F45" s="25"/>
      <c r="G45" s="8" t="s">
        <v>298</v>
      </c>
      <c r="H45" s="9" t="s">
        <v>299</v>
      </c>
      <c r="I45" s="9" t="s">
        <v>300</v>
      </c>
      <c r="J45" s="21" t="s">
        <v>301</v>
      </c>
      <c r="K45" s="25"/>
      <c r="L45" s="8" t="s">
        <v>261</v>
      </c>
      <c r="M45" s="33" t="s">
        <v>66</v>
      </c>
      <c r="N45" s="9" t="s">
        <v>66</v>
      </c>
      <c r="O45" s="21" t="s">
        <v>302</v>
      </c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32" t="s">
        <v>303</v>
      </c>
      <c r="B46" s="25" t="s">
        <v>249</v>
      </c>
      <c r="C46" s="33" t="s">
        <v>216</v>
      </c>
      <c r="D46" s="25" t="s">
        <v>304</v>
      </c>
      <c r="E46" s="47">
        <v>4.0</v>
      </c>
      <c r="F46" s="25"/>
      <c r="G46" s="8" t="s">
        <v>304</v>
      </c>
      <c r="H46" s="9" t="s">
        <v>305</v>
      </c>
      <c r="I46" s="9" t="s">
        <v>306</v>
      </c>
      <c r="J46" s="21" t="s">
        <v>307</v>
      </c>
      <c r="K46" s="25"/>
      <c r="L46" s="13" t="s">
        <v>264</v>
      </c>
      <c r="M46" s="37" t="s">
        <v>78</v>
      </c>
      <c r="N46" s="14" t="s">
        <v>308</v>
      </c>
      <c r="O46" s="24" t="s">
        <v>46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32" t="s">
        <v>309</v>
      </c>
      <c r="B47" s="25" t="s">
        <v>253</v>
      </c>
      <c r="C47" s="33" t="s">
        <v>220</v>
      </c>
      <c r="D47" s="25" t="s">
        <v>310</v>
      </c>
      <c r="E47" s="47">
        <v>1.0</v>
      </c>
      <c r="F47" s="25"/>
      <c r="G47" s="8" t="s">
        <v>311</v>
      </c>
      <c r="H47" s="9" t="s">
        <v>312</v>
      </c>
      <c r="I47" s="9" t="s">
        <v>313</v>
      </c>
      <c r="J47" s="21" t="s">
        <v>314</v>
      </c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32" t="s">
        <v>315</v>
      </c>
      <c r="B48" s="25" t="s">
        <v>253</v>
      </c>
      <c r="C48" s="33" t="s">
        <v>220</v>
      </c>
      <c r="D48" s="25" t="s">
        <v>316</v>
      </c>
      <c r="E48" s="47">
        <v>2.0</v>
      </c>
      <c r="F48" s="25"/>
      <c r="G48" s="8" t="s">
        <v>317</v>
      </c>
      <c r="H48" s="9" t="s">
        <v>318</v>
      </c>
      <c r="I48" s="9" t="s">
        <v>319</v>
      </c>
      <c r="J48" s="21" t="s">
        <v>320</v>
      </c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32" t="s">
        <v>321</v>
      </c>
      <c r="B49" s="25" t="s">
        <v>253</v>
      </c>
      <c r="C49" s="33" t="s">
        <v>220</v>
      </c>
      <c r="D49" s="25" t="s">
        <v>322</v>
      </c>
      <c r="E49" s="47">
        <v>1.0</v>
      </c>
      <c r="F49" s="25"/>
      <c r="G49" s="8" t="s">
        <v>323</v>
      </c>
      <c r="H49" s="9" t="s">
        <v>324</v>
      </c>
      <c r="I49" s="9" t="s">
        <v>325</v>
      </c>
      <c r="J49" s="21" t="s">
        <v>326</v>
      </c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32" t="s">
        <v>327</v>
      </c>
      <c r="B50" s="25" t="s">
        <v>257</v>
      </c>
      <c r="C50" s="33" t="s">
        <v>224</v>
      </c>
      <c r="D50" s="25" t="s">
        <v>310</v>
      </c>
      <c r="E50" s="47">
        <v>1.0</v>
      </c>
      <c r="F50" s="25"/>
      <c r="G50" s="8" t="s">
        <v>328</v>
      </c>
      <c r="H50" s="9" t="s">
        <v>329</v>
      </c>
      <c r="I50" s="9" t="s">
        <v>330</v>
      </c>
      <c r="J50" s="21" t="s">
        <v>331</v>
      </c>
      <c r="K50" s="25"/>
      <c r="L50" s="20" t="s">
        <v>332</v>
      </c>
      <c r="M50" s="2"/>
      <c r="N50" s="3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32" t="s">
        <v>333</v>
      </c>
      <c r="B51" s="25" t="s">
        <v>257</v>
      </c>
      <c r="C51" s="33" t="s">
        <v>224</v>
      </c>
      <c r="D51" s="25" t="s">
        <v>316</v>
      </c>
      <c r="E51" s="47">
        <v>2.0</v>
      </c>
      <c r="F51" s="25"/>
      <c r="G51" s="8" t="s">
        <v>310</v>
      </c>
      <c r="H51" s="9" t="s">
        <v>334</v>
      </c>
      <c r="I51" s="9" t="s">
        <v>335</v>
      </c>
      <c r="J51" s="21" t="s">
        <v>336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32" t="s">
        <v>337</v>
      </c>
      <c r="B52" s="25" t="s">
        <v>257</v>
      </c>
      <c r="C52" s="33" t="s">
        <v>224</v>
      </c>
      <c r="D52" s="25" t="s">
        <v>322</v>
      </c>
      <c r="E52" s="47">
        <v>1.0</v>
      </c>
      <c r="F52" s="25"/>
      <c r="G52" s="8" t="s">
        <v>316</v>
      </c>
      <c r="H52" s="9" t="s">
        <v>338</v>
      </c>
      <c r="I52" s="9" t="s">
        <v>339</v>
      </c>
      <c r="J52" s="21" t="s">
        <v>340</v>
      </c>
      <c r="K52" s="25"/>
      <c r="L52" s="48" t="s">
        <v>341</v>
      </c>
      <c r="M52" s="49" t="s">
        <v>342</v>
      </c>
      <c r="N52" s="49" t="s">
        <v>343</v>
      </c>
      <c r="O52" s="49" t="s">
        <v>344</v>
      </c>
      <c r="P52" s="50" t="s">
        <v>345</v>
      </c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32" t="s">
        <v>346</v>
      </c>
      <c r="B53" s="25" t="s">
        <v>258</v>
      </c>
      <c r="C53" s="33" t="s">
        <v>228</v>
      </c>
      <c r="D53" s="25" t="s">
        <v>284</v>
      </c>
      <c r="E53" s="47">
        <v>1.0</v>
      </c>
      <c r="F53" s="25"/>
      <c r="G53" s="8" t="s">
        <v>322</v>
      </c>
      <c r="H53" s="9" t="s">
        <v>347</v>
      </c>
      <c r="I53" s="9" t="s">
        <v>348</v>
      </c>
      <c r="J53" s="21" t="s">
        <v>349</v>
      </c>
      <c r="K53" s="25"/>
      <c r="L53" s="51" t="s">
        <v>350</v>
      </c>
      <c r="M53" s="28" t="s">
        <v>221</v>
      </c>
      <c r="N53" s="52">
        <v>1.0</v>
      </c>
      <c r="O53" s="52" t="s">
        <v>33</v>
      </c>
      <c r="P53" s="53" t="s">
        <v>351</v>
      </c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32" t="s">
        <v>352</v>
      </c>
      <c r="B54" s="25" t="s">
        <v>258</v>
      </c>
      <c r="C54" s="33" t="s">
        <v>228</v>
      </c>
      <c r="D54" s="25" t="s">
        <v>291</v>
      </c>
      <c r="E54" s="47">
        <v>1.0</v>
      </c>
      <c r="F54" s="25"/>
      <c r="G54" s="8" t="s">
        <v>353</v>
      </c>
      <c r="H54" s="9" t="s">
        <v>354</v>
      </c>
      <c r="I54" s="9" t="s">
        <v>355</v>
      </c>
      <c r="J54" s="21" t="s">
        <v>356</v>
      </c>
      <c r="K54" s="25"/>
      <c r="L54" s="8" t="s">
        <v>357</v>
      </c>
      <c r="M54" s="33" t="s">
        <v>233</v>
      </c>
      <c r="N54" s="9">
        <v>15.0</v>
      </c>
      <c r="O54" s="9" t="s">
        <v>33</v>
      </c>
      <c r="P54" s="21" t="s">
        <v>358</v>
      </c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32" t="s">
        <v>359</v>
      </c>
      <c r="B55" s="25" t="s">
        <v>258</v>
      </c>
      <c r="C55" s="33" t="s">
        <v>228</v>
      </c>
      <c r="D55" s="25" t="s">
        <v>298</v>
      </c>
      <c r="E55" s="47">
        <v>1.0</v>
      </c>
      <c r="F55" s="25"/>
      <c r="G55" s="8" t="s">
        <v>360</v>
      </c>
      <c r="H55" s="9" t="s">
        <v>361</v>
      </c>
      <c r="I55" s="9" t="s">
        <v>362</v>
      </c>
      <c r="J55" s="21" t="s">
        <v>363</v>
      </c>
      <c r="K55" s="25"/>
      <c r="L55" s="13" t="s">
        <v>364</v>
      </c>
      <c r="M55" s="37" t="s">
        <v>243</v>
      </c>
      <c r="N55" s="14">
        <v>1.0</v>
      </c>
      <c r="O55" s="14" t="s">
        <v>33</v>
      </c>
      <c r="P55" s="24" t="s">
        <v>365</v>
      </c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32" t="s">
        <v>366</v>
      </c>
      <c r="B56" s="25" t="s">
        <v>258</v>
      </c>
      <c r="C56" s="33" t="s">
        <v>228</v>
      </c>
      <c r="D56" s="25" t="s">
        <v>304</v>
      </c>
      <c r="E56" s="47">
        <v>4.0</v>
      </c>
      <c r="F56" s="25"/>
      <c r="G56" s="8" t="s">
        <v>367</v>
      </c>
      <c r="H56" s="9" t="s">
        <v>368</v>
      </c>
      <c r="I56" s="9" t="s">
        <v>369</v>
      </c>
      <c r="J56" s="21" t="s">
        <v>370</v>
      </c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32" t="s">
        <v>371</v>
      </c>
      <c r="B57" s="25" t="s">
        <v>259</v>
      </c>
      <c r="C57" s="33" t="s">
        <v>232</v>
      </c>
      <c r="D57" s="25" t="s">
        <v>298</v>
      </c>
      <c r="E57" s="47">
        <v>1.0</v>
      </c>
      <c r="F57" s="25"/>
      <c r="G57" s="13" t="s">
        <v>372</v>
      </c>
      <c r="H57" s="14" t="s">
        <v>373</v>
      </c>
      <c r="I57" s="14" t="s">
        <v>374</v>
      </c>
      <c r="J57" s="24" t="s">
        <v>375</v>
      </c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32" t="s">
        <v>376</v>
      </c>
      <c r="B58" s="25" t="s">
        <v>259</v>
      </c>
      <c r="C58" s="33" t="s">
        <v>232</v>
      </c>
      <c r="D58" s="25" t="s">
        <v>317</v>
      </c>
      <c r="E58" s="47">
        <v>6.0</v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32" t="s">
        <v>377</v>
      </c>
      <c r="B59" s="25" t="s">
        <v>259</v>
      </c>
      <c r="C59" s="33" t="s">
        <v>232</v>
      </c>
      <c r="D59" s="25" t="s">
        <v>323</v>
      </c>
      <c r="E59" s="47">
        <v>1.0</v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32" t="s">
        <v>378</v>
      </c>
      <c r="B60" s="25" t="s">
        <v>262</v>
      </c>
      <c r="C60" s="33" t="s">
        <v>234</v>
      </c>
      <c r="D60" s="33" t="s">
        <v>284</v>
      </c>
      <c r="E60" s="47">
        <v>1.0</v>
      </c>
      <c r="F60" s="25"/>
      <c r="G60" s="25"/>
      <c r="H60" s="25"/>
      <c r="I60" s="25"/>
      <c r="J60" s="25"/>
      <c r="K60" s="25"/>
      <c r="L60" s="20" t="s">
        <v>379</v>
      </c>
      <c r="M60" s="3"/>
      <c r="N60" s="25"/>
      <c r="O60" s="25"/>
      <c r="P60" s="54" t="s">
        <v>380</v>
      </c>
      <c r="Q60" s="3"/>
      <c r="R60" s="25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32" t="s">
        <v>381</v>
      </c>
      <c r="B61" s="25" t="s">
        <v>262</v>
      </c>
      <c r="C61" s="33" t="s">
        <v>234</v>
      </c>
      <c r="D61" s="33" t="s">
        <v>291</v>
      </c>
      <c r="E61" s="47">
        <v>1.0</v>
      </c>
      <c r="F61" s="25"/>
      <c r="G61" s="20" t="s">
        <v>382</v>
      </c>
      <c r="H61" s="3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32" t="s">
        <v>383</v>
      </c>
      <c r="B62" s="25" t="s">
        <v>262</v>
      </c>
      <c r="C62" s="33" t="s">
        <v>234</v>
      </c>
      <c r="D62" s="33" t="s">
        <v>298</v>
      </c>
      <c r="E62" s="47">
        <v>1.0</v>
      </c>
      <c r="F62" s="25"/>
      <c r="G62" s="25"/>
      <c r="H62" s="25"/>
      <c r="I62" s="25"/>
      <c r="J62" s="25"/>
      <c r="K62" s="25"/>
      <c r="L62" s="55" t="s">
        <v>384</v>
      </c>
      <c r="M62" s="56" t="s">
        <v>385</v>
      </c>
      <c r="N62" s="25"/>
      <c r="O62" s="25"/>
      <c r="P62" s="26" t="s">
        <v>211</v>
      </c>
      <c r="Q62" s="26" t="s">
        <v>386</v>
      </c>
      <c r="R62" s="25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32" t="s">
        <v>387</v>
      </c>
      <c r="B63" s="25" t="s">
        <v>262</v>
      </c>
      <c r="C63" s="33" t="s">
        <v>234</v>
      </c>
      <c r="D63" s="25" t="s">
        <v>304</v>
      </c>
      <c r="E63" s="47">
        <v>4.0</v>
      </c>
      <c r="F63" s="25"/>
      <c r="G63" s="4" t="s">
        <v>388</v>
      </c>
      <c r="H63" s="6" t="s">
        <v>279</v>
      </c>
      <c r="I63" s="25"/>
      <c r="J63" s="25"/>
      <c r="K63" s="25"/>
      <c r="L63" s="57" t="s">
        <v>389</v>
      </c>
      <c r="M63" s="58" t="s">
        <v>127</v>
      </c>
      <c r="N63" s="25"/>
      <c r="O63" s="25"/>
      <c r="P63" s="33" t="s">
        <v>217</v>
      </c>
      <c r="Q63" s="32" t="s">
        <v>390</v>
      </c>
      <c r="R63" s="26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32" t="s">
        <v>391</v>
      </c>
      <c r="B64" s="25" t="s">
        <v>262</v>
      </c>
      <c r="C64" s="33" t="s">
        <v>234</v>
      </c>
      <c r="D64" s="25" t="s">
        <v>311</v>
      </c>
      <c r="E64" s="47">
        <v>2.0</v>
      </c>
      <c r="F64" s="25"/>
      <c r="G64" s="51" t="s">
        <v>392</v>
      </c>
      <c r="H64" s="30" t="s">
        <v>393</v>
      </c>
      <c r="I64" s="25"/>
      <c r="J64" s="25"/>
      <c r="K64" s="25"/>
      <c r="L64" s="59" t="s">
        <v>394</v>
      </c>
      <c r="M64" s="60" t="s">
        <v>138</v>
      </c>
      <c r="N64" s="25"/>
      <c r="O64" s="25"/>
      <c r="P64" s="33" t="s">
        <v>221</v>
      </c>
      <c r="Q64" s="32" t="s">
        <v>395</v>
      </c>
      <c r="R64" s="26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32" t="s">
        <v>396</v>
      </c>
      <c r="B65" s="25" t="s">
        <v>262</v>
      </c>
      <c r="C65" s="33" t="s">
        <v>234</v>
      </c>
      <c r="D65" s="25" t="s">
        <v>317</v>
      </c>
      <c r="E65" s="47">
        <v>6.0</v>
      </c>
      <c r="F65" s="25"/>
      <c r="G65" s="8" t="s">
        <v>397</v>
      </c>
      <c r="H65" s="34" t="s">
        <v>398</v>
      </c>
      <c r="I65" s="25"/>
      <c r="J65" s="25"/>
      <c r="K65" s="25"/>
      <c r="L65" s="59" t="s">
        <v>399</v>
      </c>
      <c r="M65" s="60" t="s">
        <v>148</v>
      </c>
      <c r="N65" s="25"/>
      <c r="O65" s="25"/>
      <c r="P65" s="33" t="s">
        <v>225</v>
      </c>
      <c r="Q65" s="32" t="s">
        <v>400</v>
      </c>
      <c r="R65" s="26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32" t="s">
        <v>401</v>
      </c>
      <c r="B66" s="25" t="s">
        <v>262</v>
      </c>
      <c r="C66" s="33" t="s">
        <v>234</v>
      </c>
      <c r="D66" s="25" t="s">
        <v>323</v>
      </c>
      <c r="E66" s="47">
        <v>1.0</v>
      </c>
      <c r="F66" s="25"/>
      <c r="G66" s="8" t="s">
        <v>402</v>
      </c>
      <c r="H66" s="34" t="s">
        <v>403</v>
      </c>
      <c r="I66" s="25"/>
      <c r="J66" s="25"/>
      <c r="K66" s="25"/>
      <c r="L66" s="59" t="s">
        <v>404</v>
      </c>
      <c r="M66" s="60" t="s">
        <v>154</v>
      </c>
      <c r="N66" s="25"/>
      <c r="O66" s="25"/>
      <c r="P66" s="33" t="s">
        <v>229</v>
      </c>
      <c r="Q66" s="32" t="s">
        <v>405</v>
      </c>
      <c r="R66" s="26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32" t="s">
        <v>406</v>
      </c>
      <c r="B67" s="25" t="s">
        <v>262</v>
      </c>
      <c r="C67" s="33" t="s">
        <v>234</v>
      </c>
      <c r="D67" s="25" t="s">
        <v>328</v>
      </c>
      <c r="E67" s="47">
        <v>1.0</v>
      </c>
      <c r="F67" s="25"/>
      <c r="G67" s="13" t="s">
        <v>407</v>
      </c>
      <c r="H67" s="38" t="s">
        <v>408</v>
      </c>
      <c r="I67" s="25"/>
      <c r="J67" s="25"/>
      <c r="K67" s="25"/>
      <c r="L67" s="59" t="s">
        <v>409</v>
      </c>
      <c r="M67" s="60" t="s">
        <v>162</v>
      </c>
      <c r="N67" s="25"/>
      <c r="O67" s="25"/>
      <c r="P67" s="33" t="s">
        <v>233</v>
      </c>
      <c r="Q67" s="32" t="s">
        <v>410</v>
      </c>
      <c r="R67" s="26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32" t="s">
        <v>411</v>
      </c>
      <c r="B68" s="25" t="s">
        <v>265</v>
      </c>
      <c r="C68" s="33" t="s">
        <v>236</v>
      </c>
      <c r="D68" s="25" t="s">
        <v>298</v>
      </c>
      <c r="E68" s="47">
        <v>1.0</v>
      </c>
      <c r="F68" s="25"/>
      <c r="G68" s="25"/>
      <c r="H68" s="25"/>
      <c r="I68" s="25"/>
      <c r="J68" s="25"/>
      <c r="K68" s="25"/>
      <c r="L68" s="59" t="s">
        <v>412</v>
      </c>
      <c r="M68" s="60" t="s">
        <v>166</v>
      </c>
      <c r="N68" s="25"/>
      <c r="O68" s="25"/>
      <c r="P68" s="33" t="s">
        <v>235</v>
      </c>
      <c r="Q68" s="32" t="s">
        <v>413</v>
      </c>
      <c r="R68" s="26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32" t="s">
        <v>414</v>
      </c>
      <c r="B69" s="25" t="s">
        <v>265</v>
      </c>
      <c r="C69" s="33" t="s">
        <v>236</v>
      </c>
      <c r="D69" s="25" t="s">
        <v>317</v>
      </c>
      <c r="E69" s="47">
        <v>6.0</v>
      </c>
      <c r="F69" s="25"/>
      <c r="G69" s="25"/>
      <c r="H69" s="25"/>
      <c r="I69" s="25"/>
      <c r="J69" s="25"/>
      <c r="K69" s="25"/>
      <c r="L69" s="59" t="s">
        <v>415</v>
      </c>
      <c r="M69" s="60" t="s">
        <v>177</v>
      </c>
      <c r="N69" s="25"/>
      <c r="O69" s="25"/>
      <c r="P69" s="33" t="s">
        <v>237</v>
      </c>
      <c r="Q69" s="32" t="s">
        <v>416</v>
      </c>
      <c r="R69" s="26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32" t="s">
        <v>417</v>
      </c>
      <c r="B70" s="25" t="s">
        <v>265</v>
      </c>
      <c r="C70" s="33" t="s">
        <v>236</v>
      </c>
      <c r="D70" s="25" t="s">
        <v>323</v>
      </c>
      <c r="E70" s="47">
        <v>1.0</v>
      </c>
      <c r="F70" s="25"/>
      <c r="G70" s="25"/>
      <c r="H70" s="25"/>
      <c r="I70" s="25"/>
      <c r="J70" s="25"/>
      <c r="K70" s="25"/>
      <c r="L70" s="59" t="s">
        <v>418</v>
      </c>
      <c r="M70" s="60" t="s">
        <v>183</v>
      </c>
      <c r="N70" s="25"/>
      <c r="O70" s="25"/>
      <c r="P70" s="33" t="s">
        <v>239</v>
      </c>
      <c r="Q70" s="32" t="s">
        <v>419</v>
      </c>
      <c r="R70" s="26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32" t="s">
        <v>420</v>
      </c>
      <c r="B71" s="25" t="s">
        <v>266</v>
      </c>
      <c r="C71" s="25" t="s">
        <v>238</v>
      </c>
      <c r="D71" s="25" t="s">
        <v>298</v>
      </c>
      <c r="E71" s="47">
        <v>1.0</v>
      </c>
      <c r="F71" s="25"/>
      <c r="G71" s="25"/>
      <c r="H71" s="25"/>
      <c r="I71" s="25"/>
      <c r="J71" s="25"/>
      <c r="K71" s="25"/>
      <c r="L71" s="59" t="s">
        <v>421</v>
      </c>
      <c r="M71" s="60" t="s">
        <v>189</v>
      </c>
      <c r="N71" s="25"/>
      <c r="O71" s="25"/>
      <c r="P71" s="33" t="s">
        <v>241</v>
      </c>
      <c r="Q71" s="32" t="s">
        <v>422</v>
      </c>
      <c r="R71" s="26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32" t="s">
        <v>423</v>
      </c>
      <c r="B72" s="25" t="s">
        <v>266</v>
      </c>
      <c r="C72" s="25" t="s">
        <v>238</v>
      </c>
      <c r="D72" s="25" t="s">
        <v>304</v>
      </c>
      <c r="E72" s="47">
        <v>4.0</v>
      </c>
      <c r="F72" s="25"/>
      <c r="G72" s="25"/>
      <c r="H72" s="25"/>
      <c r="I72" s="25"/>
      <c r="J72" s="25"/>
      <c r="K72" s="25"/>
      <c r="L72" s="59" t="s">
        <v>424</v>
      </c>
      <c r="M72" s="60" t="s">
        <v>195</v>
      </c>
      <c r="N72" s="25"/>
      <c r="O72" s="25"/>
      <c r="P72" s="33" t="s">
        <v>243</v>
      </c>
      <c r="Q72" s="32" t="s">
        <v>425</v>
      </c>
      <c r="R72" s="26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32" t="s">
        <v>426</v>
      </c>
      <c r="B73" s="25" t="s">
        <v>266</v>
      </c>
      <c r="C73" s="25" t="s">
        <v>238</v>
      </c>
      <c r="D73" s="25" t="s">
        <v>316</v>
      </c>
      <c r="E73" s="47">
        <v>2.0</v>
      </c>
      <c r="F73" s="25"/>
      <c r="G73" s="25"/>
      <c r="H73" s="25"/>
      <c r="I73" s="25"/>
      <c r="J73" s="25"/>
      <c r="K73" s="25"/>
      <c r="L73" s="59" t="s">
        <v>427</v>
      </c>
      <c r="M73" s="60" t="s">
        <v>428</v>
      </c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32" t="s">
        <v>429</v>
      </c>
      <c r="B74" s="25" t="s">
        <v>266</v>
      </c>
      <c r="C74" s="25" t="s">
        <v>238</v>
      </c>
      <c r="D74" s="25" t="s">
        <v>322</v>
      </c>
      <c r="E74" s="47">
        <v>1.0</v>
      </c>
      <c r="F74" s="25"/>
      <c r="G74" s="25"/>
      <c r="H74" s="25"/>
      <c r="I74" s="25"/>
      <c r="J74" s="25"/>
      <c r="K74" s="25"/>
      <c r="L74" s="59" t="s">
        <v>430</v>
      </c>
      <c r="M74" s="60" t="s">
        <v>431</v>
      </c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32" t="s">
        <v>432</v>
      </c>
      <c r="B75" s="25" t="s">
        <v>267</v>
      </c>
      <c r="C75" s="25" t="s">
        <v>240</v>
      </c>
      <c r="D75" s="25" t="s">
        <v>316</v>
      </c>
      <c r="E75" s="47">
        <v>2.0</v>
      </c>
      <c r="F75" s="25"/>
      <c r="G75" s="25"/>
      <c r="H75" s="25"/>
      <c r="I75" s="25"/>
      <c r="J75" s="25"/>
      <c r="K75" s="25"/>
      <c r="L75" s="59" t="s">
        <v>433</v>
      </c>
      <c r="M75" s="60" t="s">
        <v>434</v>
      </c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32" t="s">
        <v>435</v>
      </c>
      <c r="B76" s="25" t="s">
        <v>267</v>
      </c>
      <c r="C76" s="25" t="s">
        <v>240</v>
      </c>
      <c r="D76" s="25" t="s">
        <v>322</v>
      </c>
      <c r="E76" s="47">
        <v>1.0</v>
      </c>
      <c r="F76" s="25"/>
      <c r="G76" s="25"/>
      <c r="H76" s="25"/>
      <c r="I76" s="25"/>
      <c r="J76" s="25"/>
      <c r="K76" s="25"/>
      <c r="L76" s="59" t="s">
        <v>436</v>
      </c>
      <c r="M76" s="60" t="s">
        <v>437</v>
      </c>
      <c r="N76" s="25"/>
      <c r="O76" s="25"/>
      <c r="P76" s="54" t="s">
        <v>438</v>
      </c>
      <c r="Q76" s="3"/>
      <c r="R76" s="25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32" t="s">
        <v>439</v>
      </c>
      <c r="B77" s="25" t="s">
        <v>269</v>
      </c>
      <c r="C77" s="25" t="s">
        <v>242</v>
      </c>
      <c r="D77" s="25" t="s">
        <v>298</v>
      </c>
      <c r="E77" s="47">
        <v>1.0</v>
      </c>
      <c r="F77" s="25"/>
      <c r="G77" s="25"/>
      <c r="H77" s="25"/>
      <c r="I77" s="25"/>
      <c r="J77" s="25"/>
      <c r="K77" s="25"/>
      <c r="L77" s="59" t="s">
        <v>440</v>
      </c>
      <c r="M77" s="60" t="s">
        <v>441</v>
      </c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32" t="s">
        <v>442</v>
      </c>
      <c r="B78" s="25" t="s">
        <v>269</v>
      </c>
      <c r="C78" s="25" t="s">
        <v>242</v>
      </c>
      <c r="D78" s="25" t="s">
        <v>317</v>
      </c>
      <c r="E78" s="47">
        <v>6.0</v>
      </c>
      <c r="F78" s="25"/>
      <c r="G78" s="25"/>
      <c r="H78" s="25"/>
      <c r="I78" s="25"/>
      <c r="J78" s="25"/>
      <c r="K78" s="25"/>
      <c r="L78" s="59" t="s">
        <v>443</v>
      </c>
      <c r="M78" s="60" t="s">
        <v>444</v>
      </c>
      <c r="N78" s="25"/>
      <c r="O78" s="25"/>
      <c r="P78" s="26" t="s">
        <v>445</v>
      </c>
      <c r="Q78" s="26" t="s">
        <v>446</v>
      </c>
      <c r="R78" s="25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39" t="s">
        <v>447</v>
      </c>
      <c r="B79" s="61" t="s">
        <v>269</v>
      </c>
      <c r="C79" s="61" t="s">
        <v>242</v>
      </c>
      <c r="D79" s="61" t="s">
        <v>323</v>
      </c>
      <c r="E79" s="62">
        <v>1.0</v>
      </c>
      <c r="F79" s="25"/>
      <c r="G79" s="25"/>
      <c r="H79" s="25"/>
      <c r="I79" s="25"/>
      <c r="J79" s="25"/>
      <c r="K79" s="25"/>
      <c r="L79" s="59" t="s">
        <v>448</v>
      </c>
      <c r="M79" s="60" t="s">
        <v>449</v>
      </c>
      <c r="N79" s="25"/>
      <c r="O79" s="25"/>
      <c r="P79" s="25" t="s">
        <v>450</v>
      </c>
      <c r="Q79" s="32" t="s">
        <v>451</v>
      </c>
      <c r="R79" s="25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59" t="s">
        <v>219</v>
      </c>
      <c r="M80" s="60" t="s">
        <v>199</v>
      </c>
      <c r="N80" s="25"/>
      <c r="O80" s="25"/>
      <c r="P80" s="25" t="s">
        <v>452</v>
      </c>
      <c r="Q80" s="32" t="s">
        <v>453</v>
      </c>
      <c r="R80" s="25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59" t="s">
        <v>223</v>
      </c>
      <c r="M81" s="60" t="s">
        <v>131</v>
      </c>
      <c r="N81" s="25"/>
      <c r="O81" s="25"/>
      <c r="P81" s="25" t="s">
        <v>454</v>
      </c>
      <c r="Q81" s="32" t="s">
        <v>455</v>
      </c>
      <c r="R81" s="25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59" t="s">
        <v>227</v>
      </c>
      <c r="M82" s="60" t="s">
        <v>142</v>
      </c>
      <c r="N82" s="25"/>
      <c r="O82" s="25"/>
      <c r="P82" s="25" t="s">
        <v>456</v>
      </c>
      <c r="Q82" s="32" t="s">
        <v>457</v>
      </c>
      <c r="R82" s="25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59" t="s">
        <v>231</v>
      </c>
      <c r="M83" s="60" t="s">
        <v>170</v>
      </c>
      <c r="N83" s="25"/>
      <c r="O83" s="25"/>
      <c r="P83" s="25" t="s">
        <v>458</v>
      </c>
      <c r="Q83" s="32" t="s">
        <v>459</v>
      </c>
      <c r="R83" s="25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63"/>
      <c r="M84" s="64"/>
      <c r="N84" s="25"/>
      <c r="O84" s="25"/>
      <c r="P84" s="25" t="s">
        <v>460</v>
      </c>
      <c r="Q84" s="32" t="s">
        <v>461</v>
      </c>
      <c r="R84" s="25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0" t="s">
        <v>462</v>
      </c>
      <c r="B85" s="2"/>
      <c r="C85" s="3"/>
      <c r="D85" s="25"/>
      <c r="E85" s="25"/>
      <c r="F85" s="25"/>
      <c r="G85" s="25"/>
      <c r="H85" s="25"/>
      <c r="I85" s="25"/>
      <c r="J85" s="25"/>
      <c r="K85" s="25"/>
      <c r="L85" s="25"/>
      <c r="M85" s="33"/>
      <c r="N85" s="25"/>
      <c r="O85" s="25"/>
      <c r="P85" s="61" t="s">
        <v>463</v>
      </c>
      <c r="Q85" s="39" t="s">
        <v>464</v>
      </c>
      <c r="R85" s="25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37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4" t="s">
        <v>465</v>
      </c>
      <c r="B87" s="5" t="s">
        <v>342</v>
      </c>
      <c r="C87" s="5" t="s">
        <v>466</v>
      </c>
      <c r="D87" s="5" t="s">
        <v>207</v>
      </c>
      <c r="E87" s="5" t="s">
        <v>467</v>
      </c>
      <c r="F87" s="5" t="s">
        <v>468</v>
      </c>
      <c r="G87" s="5" t="s">
        <v>469</v>
      </c>
      <c r="H87" s="5" t="s">
        <v>470</v>
      </c>
      <c r="I87" s="5" t="s">
        <v>341</v>
      </c>
      <c r="J87" s="5" t="s">
        <v>471</v>
      </c>
      <c r="K87" s="5" t="s">
        <v>245</v>
      </c>
      <c r="L87" s="5" t="s">
        <v>472</v>
      </c>
      <c r="M87" s="6" t="s">
        <v>473</v>
      </c>
      <c r="N87" s="26" t="s">
        <v>474</v>
      </c>
      <c r="O87" s="26" t="s">
        <v>475</v>
      </c>
      <c r="P87" s="26" t="s">
        <v>476</v>
      </c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32" t="s">
        <v>390</v>
      </c>
      <c r="B88" s="33" t="s">
        <v>217</v>
      </c>
      <c r="C88" s="25" t="s">
        <v>46</v>
      </c>
      <c r="D88" s="33" t="s">
        <v>19</v>
      </c>
      <c r="E88" s="33" t="s">
        <v>126</v>
      </c>
      <c r="F88" s="33" t="s">
        <v>389</v>
      </c>
      <c r="G88" s="33" t="s">
        <v>128</v>
      </c>
      <c r="H88" s="33" t="s">
        <v>129</v>
      </c>
      <c r="I88" s="33" t="s">
        <v>46</v>
      </c>
      <c r="J88" s="33" t="s">
        <v>46</v>
      </c>
      <c r="K88" s="33" t="s">
        <v>46</v>
      </c>
      <c r="L88" s="33" t="s">
        <v>46</v>
      </c>
      <c r="M88" s="21" t="s">
        <v>397</v>
      </c>
      <c r="N88" s="25" t="str">
        <f t="shared" ref="N88:N104" si="3">lower(LEFT(D88,1)&amp;LOWER(TRIM(MID(D88,SEARCH(" ",D88),LEN(D88)))))&amp;1</f>
        <v>osmith1</v>
      </c>
      <c r="O88" s="26">
        <f t="shared" ref="O88:O104" si="4">RANDBETWEEN(100000,100000000)</f>
        <v>34207961</v>
      </c>
      <c r="P88" s="25" t="str">
        <f t="shared" ref="P88:P104" si="5">TEXT(today()-RANDBETWEEN(5,90),"yyyy-MM-dd")</f>
        <v>2025-09-11</v>
      </c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32" t="s">
        <v>395</v>
      </c>
      <c r="B89" s="33" t="s">
        <v>221</v>
      </c>
      <c r="C89" s="25" t="s">
        <v>46</v>
      </c>
      <c r="D89" s="33" t="s">
        <v>35</v>
      </c>
      <c r="E89" s="33" t="s">
        <v>137</v>
      </c>
      <c r="F89" s="33" t="s">
        <v>394</v>
      </c>
      <c r="G89" s="33" t="s">
        <v>139</v>
      </c>
      <c r="H89" s="33" t="s">
        <v>140</v>
      </c>
      <c r="I89" s="33">
        <v>1.0</v>
      </c>
      <c r="J89" s="33" t="s">
        <v>46</v>
      </c>
      <c r="K89" s="33" t="s">
        <v>46</v>
      </c>
      <c r="L89" s="33" t="s">
        <v>46</v>
      </c>
      <c r="M89" s="21" t="s">
        <v>402</v>
      </c>
      <c r="N89" s="25" t="str">
        <f t="shared" si="3"/>
        <v>ajones1</v>
      </c>
      <c r="O89" s="26">
        <f t="shared" si="4"/>
        <v>39429270</v>
      </c>
      <c r="P89" s="25" t="str">
        <f t="shared" si="5"/>
        <v>2025-09-11</v>
      </c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32" t="s">
        <v>400</v>
      </c>
      <c r="B90" s="33" t="s">
        <v>225</v>
      </c>
      <c r="C90" s="25" t="s">
        <v>46</v>
      </c>
      <c r="D90" s="33" t="s">
        <v>50</v>
      </c>
      <c r="E90" s="33" t="s">
        <v>147</v>
      </c>
      <c r="F90" s="33" t="s">
        <v>399</v>
      </c>
      <c r="G90" s="33" t="s">
        <v>149</v>
      </c>
      <c r="H90" s="33" t="s">
        <v>150</v>
      </c>
      <c r="I90" s="33" t="s">
        <v>46</v>
      </c>
      <c r="J90" s="33" t="s">
        <v>46</v>
      </c>
      <c r="K90" s="33" t="s">
        <v>46</v>
      </c>
      <c r="L90" s="33" t="s">
        <v>46</v>
      </c>
      <c r="M90" s="21" t="s">
        <v>397</v>
      </c>
      <c r="N90" s="25" t="str">
        <f t="shared" si="3"/>
        <v>jtaylor1</v>
      </c>
      <c r="O90" s="26">
        <f t="shared" si="4"/>
        <v>40647216</v>
      </c>
      <c r="P90" s="25" t="str">
        <f t="shared" si="5"/>
        <v>2025-10-07</v>
      </c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32" t="s">
        <v>405</v>
      </c>
      <c r="B91" s="33" t="s">
        <v>229</v>
      </c>
      <c r="C91" s="25" t="s">
        <v>46</v>
      </c>
      <c r="D91" s="33" t="s">
        <v>55</v>
      </c>
      <c r="E91" s="33" t="s">
        <v>153</v>
      </c>
      <c r="F91" s="33" t="s">
        <v>404</v>
      </c>
      <c r="G91" s="33" t="s">
        <v>155</v>
      </c>
      <c r="H91" s="33" t="s">
        <v>156</v>
      </c>
      <c r="I91" s="33" t="s">
        <v>46</v>
      </c>
      <c r="J91" s="33" t="s">
        <v>46</v>
      </c>
      <c r="K91" s="33" t="s">
        <v>46</v>
      </c>
      <c r="L91" s="33" t="s">
        <v>46</v>
      </c>
      <c r="M91" s="21" t="s">
        <v>397</v>
      </c>
      <c r="N91" s="25" t="str">
        <f t="shared" si="3"/>
        <v>obrown1</v>
      </c>
      <c r="O91" s="26">
        <f t="shared" si="4"/>
        <v>23234299</v>
      </c>
      <c r="P91" s="25" t="str">
        <f t="shared" si="5"/>
        <v>2025-09-01</v>
      </c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32" t="s">
        <v>410</v>
      </c>
      <c r="B92" s="33" t="s">
        <v>233</v>
      </c>
      <c r="C92" s="25" t="s">
        <v>46</v>
      </c>
      <c r="D92" s="33" t="s">
        <v>61</v>
      </c>
      <c r="E92" s="33" t="s">
        <v>161</v>
      </c>
      <c r="F92" s="33" t="s">
        <v>409</v>
      </c>
      <c r="G92" s="33" t="s">
        <v>163</v>
      </c>
      <c r="H92" s="33" t="s">
        <v>164</v>
      </c>
      <c r="I92" s="33">
        <v>2.0</v>
      </c>
      <c r="J92" s="33" t="s">
        <v>46</v>
      </c>
      <c r="K92" s="33" t="s">
        <v>46</v>
      </c>
      <c r="L92" s="33" t="s">
        <v>46</v>
      </c>
      <c r="M92" s="21" t="s">
        <v>402</v>
      </c>
      <c r="N92" s="25" t="str">
        <f t="shared" si="3"/>
        <v>hwilson1</v>
      </c>
      <c r="O92" s="26">
        <f t="shared" si="4"/>
        <v>89068681</v>
      </c>
      <c r="P92" s="25" t="str">
        <f t="shared" si="5"/>
        <v>2025-09-23</v>
      </c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32" t="s">
        <v>413</v>
      </c>
      <c r="B93" s="33" t="s">
        <v>235</v>
      </c>
      <c r="C93" s="25" t="s">
        <v>46</v>
      </c>
      <c r="D93" s="33" t="s">
        <v>69</v>
      </c>
      <c r="E93" s="33" t="s">
        <v>165</v>
      </c>
      <c r="F93" s="33" t="s">
        <v>412</v>
      </c>
      <c r="G93" s="33" t="s">
        <v>167</v>
      </c>
      <c r="H93" s="33" t="s">
        <v>168</v>
      </c>
      <c r="I93" s="33" t="s">
        <v>46</v>
      </c>
      <c r="J93" s="33" t="s">
        <v>46</v>
      </c>
      <c r="K93" s="33" t="s">
        <v>46</v>
      </c>
      <c r="L93" s="33" t="s">
        <v>46</v>
      </c>
      <c r="M93" s="21" t="s">
        <v>397</v>
      </c>
      <c r="N93" s="25" t="str">
        <f t="shared" si="3"/>
        <v>ithompson1</v>
      </c>
      <c r="O93" s="26">
        <f t="shared" si="4"/>
        <v>76552312</v>
      </c>
      <c r="P93" s="25" t="str">
        <f t="shared" si="5"/>
        <v>2025-10-11</v>
      </c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32" t="s">
        <v>416</v>
      </c>
      <c r="B94" s="33" t="s">
        <v>237</v>
      </c>
      <c r="C94" s="25" t="s">
        <v>46</v>
      </c>
      <c r="D94" s="33" t="s">
        <v>81</v>
      </c>
      <c r="E94" s="33" t="s">
        <v>176</v>
      </c>
      <c r="F94" s="33" t="s">
        <v>415</v>
      </c>
      <c r="G94" s="33" t="s">
        <v>178</v>
      </c>
      <c r="H94" s="33" t="s">
        <v>179</v>
      </c>
      <c r="I94" s="33" t="s">
        <v>46</v>
      </c>
      <c r="J94" s="33" t="s">
        <v>46</v>
      </c>
      <c r="K94" s="33" t="s">
        <v>46</v>
      </c>
      <c r="L94" s="33" t="s">
        <v>46</v>
      </c>
      <c r="M94" s="21" t="s">
        <v>397</v>
      </c>
      <c r="N94" s="25" t="str">
        <f t="shared" si="3"/>
        <v>cjohnson1</v>
      </c>
      <c r="O94" s="26">
        <f t="shared" si="4"/>
        <v>68279697</v>
      </c>
      <c r="P94" s="25" t="str">
        <f t="shared" si="5"/>
        <v>2025-09-10</v>
      </c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32" t="s">
        <v>419</v>
      </c>
      <c r="B95" s="33" t="s">
        <v>239</v>
      </c>
      <c r="C95" s="25" t="s">
        <v>46</v>
      </c>
      <c r="D95" s="33" t="s">
        <v>88</v>
      </c>
      <c r="E95" s="33" t="s">
        <v>182</v>
      </c>
      <c r="F95" s="33" t="s">
        <v>418</v>
      </c>
      <c r="G95" s="33" t="s">
        <v>184</v>
      </c>
      <c r="H95" s="33" t="s">
        <v>185</v>
      </c>
      <c r="I95" s="33" t="s">
        <v>46</v>
      </c>
      <c r="J95" s="33" t="s">
        <v>46</v>
      </c>
      <c r="K95" s="33" t="s">
        <v>46</v>
      </c>
      <c r="L95" s="33" t="s">
        <v>46</v>
      </c>
      <c r="M95" s="21" t="s">
        <v>397</v>
      </c>
      <c r="N95" s="25" t="str">
        <f t="shared" si="3"/>
        <v>ewalker1</v>
      </c>
      <c r="O95" s="26">
        <f t="shared" si="4"/>
        <v>2975614</v>
      </c>
      <c r="P95" s="25" t="str">
        <f t="shared" si="5"/>
        <v>2025-09-07</v>
      </c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32" t="s">
        <v>422</v>
      </c>
      <c r="B96" s="33" t="s">
        <v>241</v>
      </c>
      <c r="C96" s="25" t="s">
        <v>46</v>
      </c>
      <c r="D96" s="33" t="s">
        <v>95</v>
      </c>
      <c r="E96" s="33" t="s">
        <v>188</v>
      </c>
      <c r="F96" s="33" t="s">
        <v>421</v>
      </c>
      <c r="G96" s="33" t="s">
        <v>190</v>
      </c>
      <c r="H96" s="33" t="s">
        <v>191</v>
      </c>
      <c r="I96" s="33" t="s">
        <v>46</v>
      </c>
      <c r="J96" s="33" t="s">
        <v>46</v>
      </c>
      <c r="K96" s="33" t="s">
        <v>46</v>
      </c>
      <c r="L96" s="33" t="s">
        <v>46</v>
      </c>
      <c r="M96" s="21" t="s">
        <v>397</v>
      </c>
      <c r="N96" s="25" t="str">
        <f t="shared" si="3"/>
        <v>gevans1</v>
      </c>
      <c r="O96" s="26">
        <f t="shared" si="4"/>
        <v>24679679</v>
      </c>
      <c r="P96" s="25" t="str">
        <f t="shared" si="5"/>
        <v>2025-10-12</v>
      </c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32" t="s">
        <v>425</v>
      </c>
      <c r="B97" s="33" t="s">
        <v>243</v>
      </c>
      <c r="C97" s="25" t="s">
        <v>46</v>
      </c>
      <c r="D97" s="33" t="s">
        <v>102</v>
      </c>
      <c r="E97" s="33" t="s">
        <v>194</v>
      </c>
      <c r="F97" s="33" t="s">
        <v>424</v>
      </c>
      <c r="G97" s="33" t="s">
        <v>196</v>
      </c>
      <c r="H97" s="33" t="s">
        <v>197</v>
      </c>
      <c r="I97" s="33">
        <v>3.0</v>
      </c>
      <c r="J97" s="33" t="s">
        <v>46</v>
      </c>
      <c r="K97" s="33" t="s">
        <v>46</v>
      </c>
      <c r="L97" s="33" t="s">
        <v>46</v>
      </c>
      <c r="M97" s="21" t="s">
        <v>402</v>
      </c>
      <c r="N97" s="25" t="str">
        <f t="shared" si="3"/>
        <v>arobinson1</v>
      </c>
      <c r="O97" s="26">
        <f t="shared" si="4"/>
        <v>64155041</v>
      </c>
      <c r="P97" s="25" t="str">
        <f t="shared" si="5"/>
        <v>2025-09-02</v>
      </c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32" t="s">
        <v>451</v>
      </c>
      <c r="B98" s="33" t="s">
        <v>46</v>
      </c>
      <c r="C98" s="25" t="s">
        <v>450</v>
      </c>
      <c r="D98" s="33" t="s">
        <v>25</v>
      </c>
      <c r="E98" s="33" t="s">
        <v>477</v>
      </c>
      <c r="F98" s="33" t="s">
        <v>427</v>
      </c>
      <c r="G98" s="33" t="str">
        <f t="shared" ref="G98:G104" si="6">SUBSTITUTE(D98," ",".")&amp;"@email.com"</f>
        <v>Simon.Lee@email.com</v>
      </c>
      <c r="H98" s="33" t="s">
        <v>478</v>
      </c>
      <c r="I98" s="33" t="s">
        <v>46</v>
      </c>
      <c r="J98" s="33" t="s">
        <v>479</v>
      </c>
      <c r="K98" s="33" t="s">
        <v>250</v>
      </c>
      <c r="L98" s="33">
        <v>2.0</v>
      </c>
      <c r="M98" s="21" t="s">
        <v>407</v>
      </c>
      <c r="N98" s="25" t="str">
        <f t="shared" si="3"/>
        <v>slee1</v>
      </c>
      <c r="O98" s="26">
        <f t="shared" si="4"/>
        <v>23786402</v>
      </c>
      <c r="P98" s="25" t="str">
        <f t="shared" si="5"/>
        <v>2025-10-29</v>
      </c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32" t="s">
        <v>453</v>
      </c>
      <c r="B99" s="33" t="s">
        <v>46</v>
      </c>
      <c r="C99" s="25" t="s">
        <v>452</v>
      </c>
      <c r="D99" s="33" t="s">
        <v>41</v>
      </c>
      <c r="E99" s="33" t="s">
        <v>480</v>
      </c>
      <c r="F99" s="33" t="s">
        <v>430</v>
      </c>
      <c r="G99" s="33" t="str">
        <f t="shared" si="6"/>
        <v>Jen.Keeosk@email.com</v>
      </c>
      <c r="H99" s="33" t="s">
        <v>481</v>
      </c>
      <c r="I99" s="33" t="s">
        <v>46</v>
      </c>
      <c r="J99" s="33" t="s">
        <v>479</v>
      </c>
      <c r="K99" s="33" t="s">
        <v>254</v>
      </c>
      <c r="L99" s="33">
        <v>3.0</v>
      </c>
      <c r="M99" s="21" t="s">
        <v>407</v>
      </c>
      <c r="N99" s="25" t="str">
        <f t="shared" si="3"/>
        <v>jkeeosk1</v>
      </c>
      <c r="O99" s="26">
        <f t="shared" si="4"/>
        <v>16254758</v>
      </c>
      <c r="P99" s="25" t="str">
        <f t="shared" si="5"/>
        <v>2025-11-14</v>
      </c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32" t="s">
        <v>455</v>
      </c>
      <c r="B100" s="33" t="s">
        <v>46</v>
      </c>
      <c r="C100" s="25" t="s">
        <v>454</v>
      </c>
      <c r="D100" s="33" t="s">
        <v>64</v>
      </c>
      <c r="E100" s="33" t="s">
        <v>482</v>
      </c>
      <c r="F100" s="33" t="s">
        <v>433</v>
      </c>
      <c r="G100" s="33" t="str">
        <f t="shared" si="6"/>
        <v>Jason.Anderson@email.com</v>
      </c>
      <c r="H100" s="33" t="s">
        <v>483</v>
      </c>
      <c r="I100" s="33" t="s">
        <v>46</v>
      </c>
      <c r="J100" s="33" t="s">
        <v>479</v>
      </c>
      <c r="K100" s="33" t="s">
        <v>260</v>
      </c>
      <c r="L100" s="33">
        <v>2.0</v>
      </c>
      <c r="M100" s="21" t="s">
        <v>407</v>
      </c>
      <c r="N100" s="25" t="str">
        <f t="shared" si="3"/>
        <v>janderson1</v>
      </c>
      <c r="O100" s="26">
        <f t="shared" si="4"/>
        <v>48894360</v>
      </c>
      <c r="P100" s="25" t="str">
        <f t="shared" si="5"/>
        <v>2025-09-28</v>
      </c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32" t="s">
        <v>457</v>
      </c>
      <c r="B101" s="33" t="s">
        <v>46</v>
      </c>
      <c r="C101" s="25" t="s">
        <v>456</v>
      </c>
      <c r="D101" s="33" t="s">
        <v>75</v>
      </c>
      <c r="E101" s="33" t="s">
        <v>484</v>
      </c>
      <c r="F101" s="33" t="s">
        <v>436</v>
      </c>
      <c r="G101" s="33" t="str">
        <f t="shared" si="6"/>
        <v>Jim.Bean@email.com</v>
      </c>
      <c r="H101" s="33" t="s">
        <v>485</v>
      </c>
      <c r="I101" s="33" t="s">
        <v>46</v>
      </c>
      <c r="J101" s="33" t="s">
        <v>479</v>
      </c>
      <c r="K101" s="33" t="s">
        <v>263</v>
      </c>
      <c r="L101" s="33">
        <v>4.0</v>
      </c>
      <c r="M101" s="21" t="s">
        <v>407</v>
      </c>
      <c r="N101" s="25" t="str">
        <f t="shared" si="3"/>
        <v>jbean1</v>
      </c>
      <c r="O101" s="26">
        <f t="shared" si="4"/>
        <v>47365148</v>
      </c>
      <c r="P101" s="25" t="str">
        <f t="shared" si="5"/>
        <v>2025-09-21</v>
      </c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32" t="s">
        <v>459</v>
      </c>
      <c r="B102" s="33" t="s">
        <v>46</v>
      </c>
      <c r="C102" s="25" t="s">
        <v>458</v>
      </c>
      <c r="D102" s="33" t="s">
        <v>108</v>
      </c>
      <c r="E102" s="33" t="s">
        <v>486</v>
      </c>
      <c r="F102" s="33" t="s">
        <v>440</v>
      </c>
      <c r="G102" s="33" t="str">
        <f t="shared" si="6"/>
        <v>Katie.John@email.com</v>
      </c>
      <c r="H102" s="33" t="s">
        <v>487</v>
      </c>
      <c r="I102" s="33" t="s">
        <v>46</v>
      </c>
      <c r="J102" s="33" t="s">
        <v>479</v>
      </c>
      <c r="K102" s="33" t="s">
        <v>270</v>
      </c>
      <c r="L102" s="33">
        <v>1.0</v>
      </c>
      <c r="M102" s="21" t="s">
        <v>407</v>
      </c>
      <c r="N102" s="25" t="str">
        <f t="shared" si="3"/>
        <v>kjohn1</v>
      </c>
      <c r="O102" s="26">
        <f t="shared" si="4"/>
        <v>46012405</v>
      </c>
      <c r="P102" s="25" t="str">
        <f t="shared" si="5"/>
        <v>2025-11-04</v>
      </c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32" t="s">
        <v>461</v>
      </c>
      <c r="B103" s="33" t="s">
        <v>46</v>
      </c>
      <c r="C103" s="25" t="s">
        <v>460</v>
      </c>
      <c r="D103" s="33" t="s">
        <v>488</v>
      </c>
      <c r="E103" s="33" t="s">
        <v>489</v>
      </c>
      <c r="F103" s="33" t="s">
        <v>443</v>
      </c>
      <c r="G103" s="33" t="str">
        <f t="shared" si="6"/>
        <v>Sue.Bridges@email.com</v>
      </c>
      <c r="H103" s="33" t="s">
        <v>490</v>
      </c>
      <c r="I103" s="33" t="s">
        <v>46</v>
      </c>
      <c r="J103" s="33" t="s">
        <v>491</v>
      </c>
      <c r="K103" s="33" t="s">
        <v>492</v>
      </c>
      <c r="L103" s="33">
        <v>1.0</v>
      </c>
      <c r="M103" s="34" t="s">
        <v>392</v>
      </c>
      <c r="N103" s="25" t="str">
        <f t="shared" si="3"/>
        <v>sbridges1</v>
      </c>
      <c r="O103" s="26">
        <f t="shared" si="4"/>
        <v>37980214</v>
      </c>
      <c r="P103" s="25" t="str">
        <f t="shared" si="5"/>
        <v>2025-11-06</v>
      </c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39" t="s">
        <v>464</v>
      </c>
      <c r="B104" s="37" t="s">
        <v>46</v>
      </c>
      <c r="C104" s="61" t="s">
        <v>463</v>
      </c>
      <c r="D104" s="37" t="s">
        <v>493</v>
      </c>
      <c r="E104" s="37" t="s">
        <v>494</v>
      </c>
      <c r="F104" s="37" t="s">
        <v>448</v>
      </c>
      <c r="G104" s="37" t="str">
        <f t="shared" si="6"/>
        <v>Alex.Towns@email.com</v>
      </c>
      <c r="H104" s="37" t="s">
        <v>495</v>
      </c>
      <c r="I104" s="37" t="s">
        <v>46</v>
      </c>
      <c r="J104" s="37" t="s">
        <v>491</v>
      </c>
      <c r="K104" s="37" t="s">
        <v>496</v>
      </c>
      <c r="L104" s="37">
        <v>2.0</v>
      </c>
      <c r="M104" s="38" t="s">
        <v>392</v>
      </c>
      <c r="N104" s="25" t="str">
        <f t="shared" si="3"/>
        <v>atowns1</v>
      </c>
      <c r="O104" s="26">
        <f t="shared" si="4"/>
        <v>33917371</v>
      </c>
      <c r="P104" s="25" t="str">
        <f t="shared" si="5"/>
        <v>2025-08-26</v>
      </c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ht="14.25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ht="14.25" customHeight="1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ht="14.25" customHeight="1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</sheetData>
  <printOptions/>
  <pageMargins bottom="0.75" footer="0.0" header="0.0" left="0.7" right="0.7" top="0.75"/>
  <pageSetup paperSize="9" orientation="portrait"/>
  <drawing r:id="rId1"/>
</worksheet>
</file>